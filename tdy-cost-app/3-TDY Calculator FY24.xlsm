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570980803C\OneDrive - United States Air Force\Desktop\TDY Calc FY24 Update\"/>
    </mc:Choice>
  </mc:AlternateContent>
  <xr:revisionPtr revIDLastSave="0" documentId="13_ncr:1_{09E4CE4D-D9DD-4883-90E8-D250D48D62F6}" xr6:coauthVersionLast="47" xr6:coauthVersionMax="47" xr10:uidLastSave="{00000000-0000-0000-0000-000000000000}"/>
  <bookViews>
    <workbookView xWindow="-120" yWindow="90" windowWidth="38640" windowHeight="21030" xr2:uid="{00000000-000D-0000-FFFF-FFFF00000000}"/>
  </bookViews>
  <sheets>
    <sheet name="Calculator" sheetId="1" r:id="rId1"/>
    <sheet name="Factors" sheetId="2" r:id="rId2"/>
    <sheet name="Escalation Tables" sheetId="4" r:id="rId3"/>
    <sheet name="Inflation Tables" sheetId="6" state="hidden" r:id="rId4"/>
    <sheet name="Notes" sheetId="3" r:id="rId5"/>
    <sheet name="Rental Car OCONUS" sheetId="5" r:id="rId6"/>
  </sheets>
  <definedNames>
    <definedName name="ExternalData_4" localSheetId="5" hidden="1">'Rental Car OCONUS'!$A$2:$AA$217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1" l="1"/>
  <c r="E8" i="1" s="1"/>
  <c r="E6" i="1"/>
  <c r="E7" i="1"/>
  <c r="C26" i="1"/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3" i="2"/>
  <c r="B14" i="2" l="1"/>
  <c r="B15" i="2"/>
  <c r="B16" i="2"/>
  <c r="B17" i="2"/>
  <c r="B18" i="2"/>
  <c r="B19" i="2"/>
  <c r="B20" i="2"/>
  <c r="B21" i="2"/>
  <c r="B22" i="2"/>
  <c r="B23" i="2"/>
  <c r="B24" i="2"/>
  <c r="B13" i="2"/>
  <c r="B11" i="2"/>
  <c r="B10" i="2"/>
  <c r="B8" i="2"/>
  <c r="B7" i="2"/>
  <c r="B9" i="2"/>
  <c r="C84" i="4" l="1"/>
  <c r="F84" i="4"/>
  <c r="H84" i="4"/>
  <c r="I84" i="4"/>
  <c r="J84" i="4"/>
  <c r="N84" i="4"/>
  <c r="O84" i="4"/>
  <c r="P84" i="4"/>
  <c r="Q84" i="4"/>
  <c r="R84" i="4"/>
  <c r="V84" i="4"/>
  <c r="W84" i="4"/>
  <c r="X84" i="4"/>
  <c r="Y84" i="4"/>
  <c r="Z84" i="4"/>
  <c r="AD84" i="4"/>
  <c r="AE84" i="4"/>
  <c r="AF84" i="4"/>
  <c r="AG84" i="4"/>
  <c r="AH84" i="4"/>
  <c r="AL84" i="4"/>
  <c r="AM84" i="4"/>
  <c r="AN84" i="4"/>
  <c r="AO84" i="4"/>
  <c r="AP84" i="4"/>
  <c r="AT84" i="4"/>
  <c r="AU84" i="4"/>
  <c r="AV84" i="4"/>
  <c r="AW84" i="4"/>
  <c r="AX84" i="4"/>
  <c r="BB84" i="4"/>
  <c r="BC84" i="4"/>
  <c r="BD84" i="4"/>
  <c r="BE84" i="4"/>
  <c r="BF84" i="4"/>
  <c r="BJ84" i="4"/>
  <c r="BK84" i="4"/>
  <c r="BL84" i="4"/>
  <c r="BM84" i="4"/>
  <c r="BN84" i="4"/>
  <c r="BR84" i="4"/>
  <c r="BS84" i="4"/>
  <c r="BT84" i="4"/>
  <c r="BU84" i="4"/>
  <c r="BV84" i="4"/>
  <c r="C85" i="4"/>
  <c r="D85" i="4"/>
  <c r="E85" i="4"/>
  <c r="F85" i="4"/>
  <c r="G85" i="4"/>
  <c r="K85" i="4"/>
  <c r="L85" i="4"/>
  <c r="M85" i="4"/>
  <c r="N85" i="4"/>
  <c r="O85" i="4"/>
  <c r="S85" i="4"/>
  <c r="T85" i="4"/>
  <c r="U85" i="4"/>
  <c r="V85" i="4"/>
  <c r="W85" i="4"/>
  <c r="AA85" i="4"/>
  <c r="AB85" i="4"/>
  <c r="AC85" i="4"/>
  <c r="AD85" i="4"/>
  <c r="AE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BV85" i="4"/>
  <c r="BW85" i="4"/>
  <c r="BX85" i="4"/>
  <c r="BY85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BV41" i="4"/>
  <c r="BW41" i="4"/>
  <c r="BX41" i="4"/>
  <c r="BY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G84" i="4" l="1"/>
  <c r="AH85" i="4"/>
  <c r="Z85" i="4"/>
  <c r="R85" i="4"/>
  <c r="J85" i="4"/>
  <c r="BY84" i="4"/>
  <c r="BQ84" i="4"/>
  <c r="BI84" i="4"/>
  <c r="BA84" i="4"/>
  <c r="AS84" i="4"/>
  <c r="AK84" i="4"/>
  <c r="AC84" i="4"/>
  <c r="U84" i="4"/>
  <c r="M84" i="4"/>
  <c r="E84" i="4"/>
  <c r="AG85" i="4"/>
  <c r="Y85" i="4"/>
  <c r="Q85" i="4"/>
  <c r="I85" i="4"/>
  <c r="BX84" i="4"/>
  <c r="BP84" i="4"/>
  <c r="BH84" i="4"/>
  <c r="AZ84" i="4"/>
  <c r="AR84" i="4"/>
  <c r="AJ84" i="4"/>
  <c r="AB84" i="4"/>
  <c r="T84" i="4"/>
  <c r="L84" i="4"/>
  <c r="D84" i="4"/>
  <c r="AF85" i="4"/>
  <c r="X85" i="4"/>
  <c r="P85" i="4"/>
  <c r="H85" i="4"/>
  <c r="BW84" i="4"/>
  <c r="BO84" i="4"/>
  <c r="BG84" i="4"/>
  <c r="AY84" i="4"/>
  <c r="AQ84" i="4"/>
  <c r="AI84" i="4"/>
  <c r="AA84" i="4"/>
  <c r="S84" i="4"/>
  <c r="K84" i="4"/>
  <c r="B27" i="1" l="1"/>
  <c r="B18" i="1"/>
  <c r="B25" i="1" s="1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BV50" i="4"/>
  <c r="BW50" i="4"/>
  <c r="BX50" i="4"/>
  <c r="BY50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Z66" i="4"/>
  <c r="BA66" i="4"/>
  <c r="BB66" i="4"/>
  <c r="BC66" i="4"/>
  <c r="BD66" i="4"/>
  <c r="BE66" i="4"/>
  <c r="BF66" i="4"/>
  <c r="BG66" i="4"/>
  <c r="BH66" i="4"/>
  <c r="BI66" i="4"/>
  <c r="BJ66" i="4"/>
  <c r="BK66" i="4"/>
  <c r="BL66" i="4"/>
  <c r="BM66" i="4"/>
  <c r="BN66" i="4"/>
  <c r="BO66" i="4"/>
  <c r="BP66" i="4"/>
  <c r="BQ66" i="4"/>
  <c r="BR66" i="4"/>
  <c r="BS66" i="4"/>
  <c r="BT66" i="4"/>
  <c r="BU66" i="4"/>
  <c r="BV66" i="4"/>
  <c r="BW66" i="4"/>
  <c r="BX66" i="4"/>
  <c r="BY66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AI67" i="4"/>
  <c r="AJ67" i="4"/>
  <c r="AK67" i="4"/>
  <c r="AL67" i="4"/>
  <c r="AM67" i="4"/>
  <c r="AN67" i="4"/>
  <c r="AO67" i="4"/>
  <c r="AP67" i="4"/>
  <c r="AQ67" i="4"/>
  <c r="AR67" i="4"/>
  <c r="AS67" i="4"/>
  <c r="AT67" i="4"/>
  <c r="AU67" i="4"/>
  <c r="AV67" i="4"/>
  <c r="AW67" i="4"/>
  <c r="AX67" i="4"/>
  <c r="AY67" i="4"/>
  <c r="AZ67" i="4"/>
  <c r="BA67" i="4"/>
  <c r="BB67" i="4"/>
  <c r="BC67" i="4"/>
  <c r="BD67" i="4"/>
  <c r="BE67" i="4"/>
  <c r="BF67" i="4"/>
  <c r="BG67" i="4"/>
  <c r="BH67" i="4"/>
  <c r="BI67" i="4"/>
  <c r="BJ67" i="4"/>
  <c r="BK67" i="4"/>
  <c r="BL67" i="4"/>
  <c r="BM67" i="4"/>
  <c r="BN67" i="4"/>
  <c r="BO67" i="4"/>
  <c r="BP67" i="4"/>
  <c r="BQ67" i="4"/>
  <c r="BR67" i="4"/>
  <c r="BS67" i="4"/>
  <c r="BT67" i="4"/>
  <c r="BU67" i="4"/>
  <c r="BV67" i="4"/>
  <c r="BW67" i="4"/>
  <c r="BX67" i="4"/>
  <c r="BY67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Z68" i="4"/>
  <c r="BA68" i="4"/>
  <c r="BB68" i="4"/>
  <c r="BC68" i="4"/>
  <c r="BD68" i="4"/>
  <c r="BE68" i="4"/>
  <c r="BF68" i="4"/>
  <c r="BG68" i="4"/>
  <c r="BH68" i="4"/>
  <c r="BI68" i="4"/>
  <c r="BJ68" i="4"/>
  <c r="BK68" i="4"/>
  <c r="BL68" i="4"/>
  <c r="BM68" i="4"/>
  <c r="BN68" i="4"/>
  <c r="BO68" i="4"/>
  <c r="BP68" i="4"/>
  <c r="BQ68" i="4"/>
  <c r="BR68" i="4"/>
  <c r="BS68" i="4"/>
  <c r="BT68" i="4"/>
  <c r="BU68" i="4"/>
  <c r="BV68" i="4"/>
  <c r="BW68" i="4"/>
  <c r="BX68" i="4"/>
  <c r="BY68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AD69" i="4"/>
  <c r="AE69" i="4"/>
  <c r="AF69" i="4"/>
  <c r="AG69" i="4"/>
  <c r="AH69" i="4"/>
  <c r="AI69" i="4"/>
  <c r="AJ69" i="4"/>
  <c r="AK69" i="4"/>
  <c r="AL69" i="4"/>
  <c r="AM69" i="4"/>
  <c r="AN69" i="4"/>
  <c r="AO69" i="4"/>
  <c r="AP69" i="4"/>
  <c r="AQ69" i="4"/>
  <c r="AR69" i="4"/>
  <c r="AS69" i="4"/>
  <c r="AT69" i="4"/>
  <c r="AU69" i="4"/>
  <c r="AV69" i="4"/>
  <c r="AW69" i="4"/>
  <c r="AX69" i="4"/>
  <c r="AY69" i="4"/>
  <c r="AZ69" i="4"/>
  <c r="BA69" i="4"/>
  <c r="BB69" i="4"/>
  <c r="BC69" i="4"/>
  <c r="BD69" i="4"/>
  <c r="BE69" i="4"/>
  <c r="BF69" i="4"/>
  <c r="BG69" i="4"/>
  <c r="BH69" i="4"/>
  <c r="BI69" i="4"/>
  <c r="BJ69" i="4"/>
  <c r="BK69" i="4"/>
  <c r="BL69" i="4"/>
  <c r="BM69" i="4"/>
  <c r="BN69" i="4"/>
  <c r="BO69" i="4"/>
  <c r="BP69" i="4"/>
  <c r="BQ69" i="4"/>
  <c r="BR69" i="4"/>
  <c r="BS69" i="4"/>
  <c r="BT69" i="4"/>
  <c r="BU69" i="4"/>
  <c r="BV69" i="4"/>
  <c r="BW69" i="4"/>
  <c r="BX69" i="4"/>
  <c r="BY69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Z70" i="4"/>
  <c r="BA70" i="4"/>
  <c r="BB70" i="4"/>
  <c r="BC70" i="4"/>
  <c r="BD70" i="4"/>
  <c r="BE70" i="4"/>
  <c r="BF70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BV70" i="4"/>
  <c r="BW70" i="4"/>
  <c r="BX70" i="4"/>
  <c r="BY70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AG71" i="4"/>
  <c r="AH71" i="4"/>
  <c r="AI71" i="4"/>
  <c r="AJ71" i="4"/>
  <c r="AK71" i="4"/>
  <c r="AL71" i="4"/>
  <c r="AM71" i="4"/>
  <c r="AN71" i="4"/>
  <c r="AO71" i="4"/>
  <c r="AP71" i="4"/>
  <c r="AQ71" i="4"/>
  <c r="AR71" i="4"/>
  <c r="AS71" i="4"/>
  <c r="AT71" i="4"/>
  <c r="AU71" i="4"/>
  <c r="AV71" i="4"/>
  <c r="AW71" i="4"/>
  <c r="AX71" i="4"/>
  <c r="AY71" i="4"/>
  <c r="AZ71" i="4"/>
  <c r="BA71" i="4"/>
  <c r="BB71" i="4"/>
  <c r="BC71" i="4"/>
  <c r="BD71" i="4"/>
  <c r="BE71" i="4"/>
  <c r="BF71" i="4"/>
  <c r="BG71" i="4"/>
  <c r="BH71" i="4"/>
  <c r="BI71" i="4"/>
  <c r="BJ71" i="4"/>
  <c r="BK71" i="4"/>
  <c r="BL71" i="4"/>
  <c r="BM71" i="4"/>
  <c r="BN71" i="4"/>
  <c r="BO71" i="4"/>
  <c r="BP71" i="4"/>
  <c r="BQ71" i="4"/>
  <c r="BR71" i="4"/>
  <c r="BS71" i="4"/>
  <c r="BT71" i="4"/>
  <c r="BU71" i="4"/>
  <c r="BV71" i="4"/>
  <c r="BW71" i="4"/>
  <c r="BX71" i="4"/>
  <c r="BY71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BK72" i="4"/>
  <c r="BL72" i="4"/>
  <c r="BM72" i="4"/>
  <c r="BN72" i="4"/>
  <c r="BO72" i="4"/>
  <c r="BP72" i="4"/>
  <c r="BQ72" i="4"/>
  <c r="BR72" i="4"/>
  <c r="BS72" i="4"/>
  <c r="BT72" i="4"/>
  <c r="BU72" i="4"/>
  <c r="BV72" i="4"/>
  <c r="BW72" i="4"/>
  <c r="BX72" i="4"/>
  <c r="BY72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Z74" i="4"/>
  <c r="BA74" i="4"/>
  <c r="BB74" i="4"/>
  <c r="BC74" i="4"/>
  <c r="BD74" i="4"/>
  <c r="BE74" i="4"/>
  <c r="BF74" i="4"/>
  <c r="BG74" i="4"/>
  <c r="BH74" i="4"/>
  <c r="BI74" i="4"/>
  <c r="BJ74" i="4"/>
  <c r="BK74" i="4"/>
  <c r="BL74" i="4"/>
  <c r="BM74" i="4"/>
  <c r="BN74" i="4"/>
  <c r="BO74" i="4"/>
  <c r="BP74" i="4"/>
  <c r="BQ74" i="4"/>
  <c r="BR74" i="4"/>
  <c r="BS74" i="4"/>
  <c r="BT74" i="4"/>
  <c r="BU74" i="4"/>
  <c r="BV74" i="4"/>
  <c r="BW74" i="4"/>
  <c r="BX74" i="4"/>
  <c r="BY74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Z75" i="4"/>
  <c r="BA75" i="4"/>
  <c r="BB75" i="4"/>
  <c r="BC75" i="4"/>
  <c r="BD75" i="4"/>
  <c r="BE75" i="4"/>
  <c r="BF75" i="4"/>
  <c r="BG75" i="4"/>
  <c r="BH75" i="4"/>
  <c r="BI75" i="4"/>
  <c r="BJ75" i="4"/>
  <c r="BK75" i="4"/>
  <c r="BL75" i="4"/>
  <c r="BM75" i="4"/>
  <c r="BN75" i="4"/>
  <c r="BO75" i="4"/>
  <c r="BP75" i="4"/>
  <c r="BQ75" i="4"/>
  <c r="BR75" i="4"/>
  <c r="BS75" i="4"/>
  <c r="BT75" i="4"/>
  <c r="BU75" i="4"/>
  <c r="BV75" i="4"/>
  <c r="BW75" i="4"/>
  <c r="BX75" i="4"/>
  <c r="BY75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Z76" i="4"/>
  <c r="BA76" i="4"/>
  <c r="BB76" i="4"/>
  <c r="BC76" i="4"/>
  <c r="BD76" i="4"/>
  <c r="BE76" i="4"/>
  <c r="BF76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AI78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Z78" i="4"/>
  <c r="BA78" i="4"/>
  <c r="BB78" i="4"/>
  <c r="BC78" i="4"/>
  <c r="BD78" i="4"/>
  <c r="BE78" i="4"/>
  <c r="BF78" i="4"/>
  <c r="BG78" i="4"/>
  <c r="BH78" i="4"/>
  <c r="BI78" i="4"/>
  <c r="BJ78" i="4"/>
  <c r="BK78" i="4"/>
  <c r="BL78" i="4"/>
  <c r="BM78" i="4"/>
  <c r="BN78" i="4"/>
  <c r="BO78" i="4"/>
  <c r="BP78" i="4"/>
  <c r="BQ78" i="4"/>
  <c r="BR78" i="4"/>
  <c r="BS78" i="4"/>
  <c r="BT78" i="4"/>
  <c r="BU78" i="4"/>
  <c r="BV78" i="4"/>
  <c r="BW78" i="4"/>
  <c r="BX78" i="4"/>
  <c r="BY78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BV79" i="4"/>
  <c r="BW79" i="4"/>
  <c r="BX79" i="4"/>
  <c r="BY79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A80" i="4"/>
  <c r="BB80" i="4"/>
  <c r="BC80" i="4"/>
  <c r="BD80" i="4"/>
  <c r="BE80" i="4"/>
  <c r="BF80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BV80" i="4"/>
  <c r="BW80" i="4"/>
  <c r="BX80" i="4"/>
  <c r="BY80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AI81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BA81" i="4"/>
  <c r="BB81" i="4"/>
  <c r="BC81" i="4"/>
  <c r="BD81" i="4"/>
  <c r="BE81" i="4"/>
  <c r="BF81" i="4"/>
  <c r="BG81" i="4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BV81" i="4"/>
  <c r="BW81" i="4"/>
  <c r="BX81" i="4"/>
  <c r="BY81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BA82" i="4"/>
  <c r="BB82" i="4"/>
  <c r="BC82" i="4"/>
  <c r="BD82" i="4"/>
  <c r="BE82" i="4"/>
  <c r="BF82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BV82" i="4"/>
  <c r="BW82" i="4"/>
  <c r="BX82" i="4"/>
  <c r="BY82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A83" i="4"/>
  <c r="BB83" i="4"/>
  <c r="BC83" i="4"/>
  <c r="BD83" i="4"/>
  <c r="BE83" i="4"/>
  <c r="BF83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BV83" i="4"/>
  <c r="BW83" i="4"/>
  <c r="BX83" i="4"/>
  <c r="BY83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47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BE5" i="4"/>
  <c r="BF5" i="4"/>
  <c r="BG5" i="4"/>
  <c r="BH5" i="4"/>
  <c r="BI5" i="4"/>
  <c r="BJ5" i="4"/>
  <c r="BK5" i="4"/>
  <c r="BL5" i="4"/>
  <c r="BM5" i="4"/>
  <c r="BN5" i="4"/>
  <c r="BO5" i="4"/>
  <c r="BP5" i="4"/>
  <c r="BQ5" i="4"/>
  <c r="BR5" i="4"/>
  <c r="BS5" i="4"/>
  <c r="BT5" i="4"/>
  <c r="BU5" i="4"/>
  <c r="BV5" i="4"/>
  <c r="BW5" i="4"/>
  <c r="BX5" i="4"/>
  <c r="BY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BE6" i="4"/>
  <c r="BF6" i="4"/>
  <c r="BG6" i="4"/>
  <c r="BH6" i="4"/>
  <c r="BI6" i="4"/>
  <c r="BJ6" i="4"/>
  <c r="BK6" i="4"/>
  <c r="BL6" i="4"/>
  <c r="BM6" i="4"/>
  <c r="BN6" i="4"/>
  <c r="BO6" i="4"/>
  <c r="BP6" i="4"/>
  <c r="BQ6" i="4"/>
  <c r="BR6" i="4"/>
  <c r="BS6" i="4"/>
  <c r="BT6" i="4"/>
  <c r="BU6" i="4"/>
  <c r="BV6" i="4"/>
  <c r="BW6" i="4"/>
  <c r="BX6" i="4"/>
  <c r="BY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BN7" i="4"/>
  <c r="BO7" i="4"/>
  <c r="BP7" i="4"/>
  <c r="BQ7" i="4"/>
  <c r="BR7" i="4"/>
  <c r="BS7" i="4"/>
  <c r="BT7" i="4"/>
  <c r="BU7" i="4"/>
  <c r="BV7" i="4"/>
  <c r="BW7" i="4"/>
  <c r="BX7" i="4"/>
  <c r="BY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BM10" i="4"/>
  <c r="BN10" i="4"/>
  <c r="BO10" i="4"/>
  <c r="BP10" i="4"/>
  <c r="BQ10" i="4"/>
  <c r="BR10" i="4"/>
  <c r="BS10" i="4"/>
  <c r="BT10" i="4"/>
  <c r="BU10" i="4"/>
  <c r="BV10" i="4"/>
  <c r="BW10" i="4"/>
  <c r="BX10" i="4"/>
  <c r="BY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BV11" i="4"/>
  <c r="BW11" i="4"/>
  <c r="BX11" i="4"/>
  <c r="BY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BV14" i="4"/>
  <c r="BW14" i="4"/>
  <c r="BX14" i="4"/>
  <c r="BY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BV15" i="4"/>
  <c r="BW15" i="4"/>
  <c r="BX15" i="4"/>
  <c r="BY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BM18" i="4"/>
  <c r="BN18" i="4"/>
  <c r="BO18" i="4"/>
  <c r="BP18" i="4"/>
  <c r="BQ18" i="4"/>
  <c r="BR18" i="4"/>
  <c r="BS18" i="4"/>
  <c r="BT18" i="4"/>
  <c r="BU18" i="4"/>
  <c r="BV18" i="4"/>
  <c r="BW18" i="4"/>
  <c r="BX18" i="4"/>
  <c r="BY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BM19" i="4"/>
  <c r="BN19" i="4"/>
  <c r="BO19" i="4"/>
  <c r="BP19" i="4"/>
  <c r="BQ19" i="4"/>
  <c r="BR19" i="4"/>
  <c r="BS19" i="4"/>
  <c r="BT19" i="4"/>
  <c r="BU19" i="4"/>
  <c r="BV19" i="4"/>
  <c r="BW19" i="4"/>
  <c r="BX19" i="4"/>
  <c r="BY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BV20" i="4"/>
  <c r="BW20" i="4"/>
  <c r="BX20" i="4"/>
  <c r="BY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BV21" i="4"/>
  <c r="BW21" i="4"/>
  <c r="BX21" i="4"/>
  <c r="BY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BV22" i="4"/>
  <c r="BW22" i="4"/>
  <c r="BX22" i="4"/>
  <c r="BY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BV26" i="4"/>
  <c r="BW26" i="4"/>
  <c r="BX26" i="4"/>
  <c r="BY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BV27" i="4"/>
  <c r="BW27" i="4"/>
  <c r="BX27" i="4"/>
  <c r="BY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BV28" i="4"/>
  <c r="BW28" i="4"/>
  <c r="BX28" i="4"/>
  <c r="BY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BV30" i="4"/>
  <c r="BW30" i="4"/>
  <c r="BX30" i="4"/>
  <c r="BY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BE31" i="4"/>
  <c r="BF31" i="4"/>
  <c r="BG31" i="4"/>
  <c r="BH31" i="4"/>
  <c r="BI31" i="4"/>
  <c r="BJ31" i="4"/>
  <c r="BK31" i="4"/>
  <c r="BL31" i="4"/>
  <c r="BM31" i="4"/>
  <c r="BN31" i="4"/>
  <c r="BO31" i="4"/>
  <c r="BP31" i="4"/>
  <c r="BQ31" i="4"/>
  <c r="BR31" i="4"/>
  <c r="BS31" i="4"/>
  <c r="BT31" i="4"/>
  <c r="BU31" i="4"/>
  <c r="BV31" i="4"/>
  <c r="BW31" i="4"/>
  <c r="BX31" i="4"/>
  <c r="BY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BV32" i="4"/>
  <c r="BW32" i="4"/>
  <c r="BX32" i="4"/>
  <c r="BY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BV33" i="4"/>
  <c r="BW33" i="4"/>
  <c r="BX33" i="4"/>
  <c r="BY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BV36" i="4"/>
  <c r="BW36" i="4"/>
  <c r="BX36" i="4"/>
  <c r="BY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BV39" i="4"/>
  <c r="BW39" i="4"/>
  <c r="BX39" i="4"/>
  <c r="BY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BV40" i="4"/>
  <c r="BW40" i="4"/>
  <c r="BX40" i="4"/>
  <c r="BY40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BL4" i="4"/>
  <c r="BM4" i="4"/>
  <c r="BN4" i="4"/>
  <c r="BO4" i="4"/>
  <c r="BP4" i="4"/>
  <c r="BQ4" i="4"/>
  <c r="BR4" i="4"/>
  <c r="BS4" i="4"/>
  <c r="BT4" i="4"/>
  <c r="BU4" i="4"/>
  <c r="BV4" i="4"/>
  <c r="BW4" i="4"/>
  <c r="BX4" i="4"/>
  <c r="BY4" i="4"/>
  <c r="D4" i="4"/>
  <c r="C4" i="4"/>
  <c r="E9" i="1" l="1"/>
  <c r="B5" i="2"/>
  <c r="B4" i="2"/>
  <c r="D8" i="1" s="1"/>
  <c r="D5" i="1" l="1"/>
  <c r="C20" i="1" s="1"/>
  <c r="D7" i="1"/>
  <c r="C23" i="1" s="1"/>
  <c r="D6" i="1"/>
  <c r="C22" i="1" s="1"/>
  <c r="C21" i="1" l="1"/>
  <c r="C19" i="1" s="1"/>
  <c r="C24" i="1"/>
  <c r="C2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EFC6CB-E8ED-4262-9E24-A6346BE406D6}" keepAlive="1" name="Query - Page001 (3)" description="Connection to the 'Page001 (3)' query in the workbook." type="5" refreshedVersion="8" background="1" saveData="1">
    <dbPr connection="Provider=Microsoft.Mashup.OleDb.1;Data Source=$Workbook$;Location=&quot;Page001 (3)&quot;;Extended Properties=&quot;&quot;" command="SELECT * FROM [Page001 (3)]"/>
  </connection>
</connections>
</file>

<file path=xl/sharedStrings.xml><?xml version="1.0" encoding="utf-8"?>
<sst xmlns="http://schemas.openxmlformats.org/spreadsheetml/2006/main" count="5947" uniqueCount="732">
  <si>
    <t>n</t>
  </si>
  <si>
    <t>Mean</t>
  </si>
  <si>
    <t>Mode</t>
  </si>
  <si>
    <t>Median</t>
  </si>
  <si>
    <t>Std. Dev.</t>
  </si>
  <si>
    <t>CV</t>
  </si>
  <si>
    <t>Min</t>
  </si>
  <si>
    <t>Max</t>
  </si>
  <si>
    <t>M&amp;IE</t>
  </si>
  <si>
    <t>CONUS</t>
  </si>
  <si>
    <t>OCONUS</t>
  </si>
  <si>
    <t>Lodging</t>
  </si>
  <si>
    <t>Airfare</t>
  </si>
  <si>
    <t>Economy</t>
  </si>
  <si>
    <t>Compact</t>
  </si>
  <si>
    <t>Full Size</t>
  </si>
  <si>
    <t>Sports Utility-  Standard (SUV)</t>
  </si>
  <si>
    <t>Sports Utility- Intermediate</t>
  </si>
  <si>
    <t>Sports Utility- Full Size</t>
  </si>
  <si>
    <t>Van</t>
  </si>
  <si>
    <t>Statistic Rating*</t>
  </si>
  <si>
    <t>Good</t>
  </si>
  <si>
    <t>Caution</t>
  </si>
  <si>
    <t>Poor</t>
  </si>
  <si>
    <t>*see notes</t>
  </si>
  <si>
    <t xml:space="preserve">There is statistical difference between the mean rates for CONUS and OCONUS.  These factors should be applied seperately. </t>
  </si>
  <si>
    <t xml:space="preserve">For CONUS, there is very little skewness in the distribution of the data.  All measures of central tendency are applicable. </t>
  </si>
  <si>
    <t>LODGING</t>
  </si>
  <si>
    <t>Car Rental</t>
  </si>
  <si>
    <t xml:space="preserve">For CONUS and OCONUS Airfare, there is significant skewness in the distribution of the data.  Mean values are influenced by outliers. </t>
  </si>
  <si>
    <t>SOURCES:</t>
  </si>
  <si>
    <t>CONUS M&amp;IE and Lodging</t>
  </si>
  <si>
    <t>OCONUS M&amp;IE and Lodging</t>
  </si>
  <si>
    <t>CONUS Car Rental</t>
  </si>
  <si>
    <t>OCONUS Car Rental</t>
  </si>
  <si>
    <t>INDICATES USER INPUT</t>
  </si>
  <si>
    <t>Yes</t>
  </si>
  <si>
    <t>Travel Element</t>
  </si>
  <si>
    <t>Warning</t>
  </si>
  <si>
    <t>Factor Type 
(Recommended is Default)</t>
  </si>
  <si>
    <t>OCONUS Rentals</t>
  </si>
  <si>
    <t>Location</t>
  </si>
  <si>
    <t># of TDY Days (Travel Days Included)</t>
  </si>
  <si>
    <t># of Travelers</t>
  </si>
  <si>
    <t>Rental Shared?</t>
  </si>
  <si>
    <t>Travel Days</t>
  </si>
  <si>
    <t>Non-Travel Days</t>
  </si>
  <si>
    <t># of Passengers</t>
  </si>
  <si>
    <t>None</t>
  </si>
  <si>
    <t>Program Base Year</t>
  </si>
  <si>
    <t>Annual Escalation Rate (CONUS):</t>
  </si>
  <si>
    <t>CONUS TRAVEL</t>
  </si>
  <si>
    <t>OCONUS TRAVEL</t>
  </si>
  <si>
    <t>Annual Escalation Rate (OCONUS):</t>
  </si>
  <si>
    <t>Price Year</t>
  </si>
  <si>
    <t xml:space="preserve">Escalation Value </t>
  </si>
  <si>
    <r>
      <t xml:space="preserve">Car Rental </t>
    </r>
    <r>
      <rPr>
        <b/>
        <sz val="12"/>
        <color rgb="FFFF0000"/>
        <rFont val="Calibri"/>
        <family val="2"/>
        <scheme val="minor"/>
      </rPr>
      <t>(CONUS)</t>
    </r>
  </si>
  <si>
    <r>
      <t xml:space="preserve">Rental Type </t>
    </r>
    <r>
      <rPr>
        <b/>
        <sz val="12"/>
        <color rgb="FFFF0000"/>
        <rFont val="Calibri"/>
        <family val="2"/>
        <scheme val="minor"/>
      </rPr>
      <t>(CONUS)</t>
    </r>
  </si>
  <si>
    <t>Workbook Password 0000</t>
  </si>
  <si>
    <t>FY24 Cost Factors</t>
  </si>
  <si>
    <t>Cargo Van
(10ft)</t>
  </si>
  <si>
    <t xml:space="preserve">For OCONUS, there is very little skewness in the distribution of the data.  All measures of central tendency are applicable. </t>
  </si>
  <si>
    <t xml:space="preserve">For CONUS Lodging, there is signifcant skewness in the distribution of the data.  Mean values are influenced by outliers. </t>
  </si>
  <si>
    <t>New Features for FY24 Version</t>
  </si>
  <si>
    <t>SUV - Intermediate 
(Up to 6)</t>
  </si>
  <si>
    <t>MidSize</t>
  </si>
  <si>
    <t>Standard</t>
  </si>
  <si>
    <t>Compact SUV</t>
  </si>
  <si>
    <t>SUV - Standard 
(Up to 5)</t>
  </si>
  <si>
    <t>SUV - Full 
(Up to 9)</t>
  </si>
  <si>
    <t>Premium
SUV
(Giant extended)</t>
  </si>
  <si>
    <t>Minivan‐
7 pax</t>
  </si>
  <si>
    <t>Car Rental (CONUS)</t>
  </si>
  <si>
    <t>Effective July 2023</t>
  </si>
  <si>
    <t>Vendor</t>
  </si>
  <si>
    <t>Currency</t>
  </si>
  <si>
    <t>Mini</t>
  </si>
  <si>
    <t>Economy
(manual)</t>
  </si>
  <si>
    <t>Economy
(automatic)</t>
  </si>
  <si>
    <t>Comp
(manual)</t>
  </si>
  <si>
    <t>Comp
(automatic)</t>
  </si>
  <si>
    <t>Midsize /
Intermediate
(manual)</t>
  </si>
  <si>
    <t>Midsize /
Intermediate
(automatic)</t>
  </si>
  <si>
    <t>Standard
(automatic)</t>
  </si>
  <si>
    <t>Fullsize
(automatic)</t>
  </si>
  <si>
    <t>Premium</t>
  </si>
  <si>
    <t>Luxury</t>
  </si>
  <si>
    <t>SUV Compact</t>
  </si>
  <si>
    <t>SUV Standard
up to 5 pax</t>
  </si>
  <si>
    <t>SUV Intermediate
Pax</t>
  </si>
  <si>
    <t>SUV Fullsize
up to 7-9 pax</t>
  </si>
  <si>
    <t>Premium
SUV</t>
  </si>
  <si>
    <t>Luxury
SUV</t>
  </si>
  <si>
    <t>Minivan- Passenger
Van</t>
  </si>
  <si>
    <t>Van Fullsize 8-10 pax</t>
  </si>
  <si>
    <t>Van Fullsize up
to 12-15 pax</t>
  </si>
  <si>
    <t>Pick up Truck</t>
  </si>
  <si>
    <t>Crossover</t>
  </si>
  <si>
    <t>Convertible</t>
  </si>
  <si>
    <t>Alaska</t>
  </si>
  <si>
    <t>Alamo Rent-A-Car, L.L.C.</t>
  </si>
  <si>
    <t>USD</t>
  </si>
  <si>
    <t>N/A</t>
  </si>
  <si>
    <t>88</t>
  </si>
  <si>
    <t>90</t>
  </si>
  <si>
    <t>92</t>
  </si>
  <si>
    <t>94</t>
  </si>
  <si>
    <t>140</t>
  </si>
  <si>
    <t>170</t>
  </si>
  <si>
    <t>190</t>
  </si>
  <si>
    <t>160</t>
  </si>
  <si>
    <t>Avis Rent-A-Car</t>
  </si>
  <si>
    <t>71</t>
  </si>
  <si>
    <t>73</t>
  </si>
  <si>
    <t>75</t>
  </si>
  <si>
    <t>77</t>
  </si>
  <si>
    <t>108</t>
  </si>
  <si>
    <t>185</t>
  </si>
  <si>
    <t>Budget Rent-A-Car</t>
  </si>
  <si>
    <t>69</t>
  </si>
  <si>
    <t>102</t>
  </si>
  <si>
    <t>180</t>
  </si>
  <si>
    <t>118</t>
  </si>
  <si>
    <t>Dollar Rent-A-Car</t>
  </si>
  <si>
    <t>113</t>
  </si>
  <si>
    <t>115</t>
  </si>
  <si>
    <t>117</t>
  </si>
  <si>
    <t>119</t>
  </si>
  <si>
    <t>199</t>
  </si>
  <si>
    <t>Enterprise Rent A Car</t>
  </si>
  <si>
    <t>Fox Rent-A-Car</t>
  </si>
  <si>
    <t>64</t>
  </si>
  <si>
    <t>74</t>
  </si>
  <si>
    <t>84</t>
  </si>
  <si>
    <t>96</t>
  </si>
  <si>
    <t>150</t>
  </si>
  <si>
    <t>The Hertz Corporation</t>
  </si>
  <si>
    <t>Midway Car Rental</t>
  </si>
  <si>
    <t>95</t>
  </si>
  <si>
    <t>97</t>
  </si>
  <si>
    <t>99</t>
  </si>
  <si>
    <t>135</t>
  </si>
  <si>
    <t>215</t>
  </si>
  <si>
    <t>175</t>
  </si>
  <si>
    <t>National Car Rental</t>
  </si>
  <si>
    <t>NextCar</t>
  </si>
  <si>
    <t>57</t>
  </si>
  <si>
    <t>83</t>
  </si>
  <si>
    <t>123</t>
  </si>
  <si>
    <t>Routes</t>
  </si>
  <si>
    <t>85</t>
  </si>
  <si>
    <t>87</t>
  </si>
  <si>
    <t>89</t>
  </si>
  <si>
    <t>155</t>
  </si>
  <si>
    <t>Sixt</t>
  </si>
  <si>
    <t>86</t>
  </si>
  <si>
    <t>120</t>
  </si>
  <si>
    <t>110</t>
  </si>
  <si>
    <t>130</t>
  </si>
  <si>
    <t>128</t>
  </si>
  <si>
    <t>Thrifty Car Rental</t>
  </si>
  <si>
    <t>Antigua</t>
  </si>
  <si>
    <t>ACE Rent-A-Car</t>
  </si>
  <si>
    <t>East Caribbean Dollar</t>
  </si>
  <si>
    <t>165</t>
  </si>
  <si>
    <t>Aruba</t>
  </si>
  <si>
    <t>Aruban Florin</t>
  </si>
  <si>
    <t>100</t>
  </si>
  <si>
    <t>Austria</t>
  </si>
  <si>
    <t>Europcar</t>
  </si>
  <si>
    <t>Euro</t>
  </si>
  <si>
    <t>103</t>
  </si>
  <si>
    <t>129</t>
  </si>
  <si>
    <t>211</t>
  </si>
  <si>
    <t>116</t>
  </si>
  <si>
    <t>158</t>
  </si>
  <si>
    <t>Hertz</t>
  </si>
  <si>
    <t>71.1</t>
  </si>
  <si>
    <t>85.65</t>
  </si>
  <si>
    <t>103.42</t>
  </si>
  <si>
    <t>164.83</t>
  </si>
  <si>
    <t>201.34</t>
  </si>
  <si>
    <t>211.00</t>
  </si>
  <si>
    <t>177.49</t>
  </si>
  <si>
    <t>43</t>
  </si>
  <si>
    <t>48</t>
  </si>
  <si>
    <t>68</t>
  </si>
  <si>
    <t>63</t>
  </si>
  <si>
    <t>98</t>
  </si>
  <si>
    <t>Australia</t>
  </si>
  <si>
    <t>Australian Dollar</t>
  </si>
  <si>
    <t>42</t>
  </si>
  <si>
    <t>44</t>
  </si>
  <si>
    <t>49</t>
  </si>
  <si>
    <t>53</t>
  </si>
  <si>
    <t>105</t>
  </si>
  <si>
    <t>Bahrain</t>
  </si>
  <si>
    <t>Bahraini Dinar</t>
  </si>
  <si>
    <t>12.15</t>
  </si>
  <si>
    <t>13.77</t>
  </si>
  <si>
    <t>14.58</t>
  </si>
  <si>
    <t>15.39</t>
  </si>
  <si>
    <t>16.20</t>
  </si>
  <si>
    <t>42.12</t>
  </si>
  <si>
    <t>14</t>
  </si>
  <si>
    <t>19</t>
  </si>
  <si>
    <t>25</t>
  </si>
  <si>
    <t>45</t>
  </si>
  <si>
    <t>35</t>
  </si>
  <si>
    <t>70</t>
  </si>
  <si>
    <t>47</t>
  </si>
  <si>
    <t>Barbados</t>
  </si>
  <si>
    <t>Bajan Dollar</t>
  </si>
  <si>
    <t>145</t>
  </si>
  <si>
    <t>Belgium</t>
  </si>
  <si>
    <t>55.66</t>
  </si>
  <si>
    <t>69.58</t>
  </si>
  <si>
    <t>76.28</t>
  </si>
  <si>
    <t>84.53</t>
  </si>
  <si>
    <t/>
  </si>
  <si>
    <t>129.50</t>
  </si>
  <si>
    <t>167.43</t>
  </si>
  <si>
    <t>88.92</t>
  </si>
  <si>
    <t>104.61</t>
  </si>
  <si>
    <t>57.02</t>
  </si>
  <si>
    <t>108.85</t>
  </si>
  <si>
    <t>98.49</t>
  </si>
  <si>
    <t>105.33</t>
  </si>
  <si>
    <t>54</t>
  </si>
  <si>
    <t>60</t>
  </si>
  <si>
    <t>Bulgaria</t>
  </si>
  <si>
    <t>38</t>
  </si>
  <si>
    <t>54.34</t>
  </si>
  <si>
    <t>74.29</t>
  </si>
  <si>
    <t>86.85</t>
  </si>
  <si>
    <t>115.92</t>
  </si>
  <si>
    <t>131.04</t>
  </si>
  <si>
    <t>Canada</t>
  </si>
  <si>
    <t>Canadian Dollar</t>
  </si>
  <si>
    <t>80</t>
  </si>
  <si>
    <t>51</t>
  </si>
  <si>
    <t>Chile</t>
  </si>
  <si>
    <t>Chilean Pesos</t>
  </si>
  <si>
    <t>41000</t>
  </si>
  <si>
    <t>42250</t>
  </si>
  <si>
    <t>44150</t>
  </si>
  <si>
    <t>47000</t>
  </si>
  <si>
    <t>114</t>
  </si>
  <si>
    <t>131</t>
  </si>
  <si>
    <t>164</t>
  </si>
  <si>
    <t>231</t>
  </si>
  <si>
    <t>Colombia</t>
  </si>
  <si>
    <t>Colombia Pasos</t>
  </si>
  <si>
    <t>15000</t>
  </si>
  <si>
    <t>155000</t>
  </si>
  <si>
    <t>220000</t>
  </si>
  <si>
    <t>Costa Rica</t>
  </si>
  <si>
    <t>Costa Rican Colon</t>
  </si>
  <si>
    <t>39050</t>
  </si>
  <si>
    <t>40000</t>
  </si>
  <si>
    <t>42000</t>
  </si>
  <si>
    <t>45000</t>
  </si>
  <si>
    <t>Croatia</t>
  </si>
  <si>
    <t>Croatian Kuna</t>
  </si>
  <si>
    <t>127</t>
  </si>
  <si>
    <t>159</t>
  </si>
  <si>
    <t>36.43</t>
  </si>
  <si>
    <t>41.73</t>
  </si>
  <si>
    <t>72.20</t>
  </si>
  <si>
    <t>89.14</t>
  </si>
  <si>
    <t>138.96</t>
  </si>
  <si>
    <t>47.03</t>
  </si>
  <si>
    <t>65.58</t>
  </si>
  <si>
    <t>Curacao</t>
  </si>
  <si>
    <t>Netherlands Antillean Guilder</t>
  </si>
  <si>
    <t>107</t>
  </si>
  <si>
    <t>112</t>
  </si>
  <si>
    <t>Cyprus</t>
  </si>
  <si>
    <t>ACE</t>
  </si>
  <si>
    <t>NA</t>
  </si>
  <si>
    <t>65</t>
  </si>
  <si>
    <t>72</t>
  </si>
  <si>
    <t>Czech Republic</t>
  </si>
  <si>
    <t>74.25</t>
  </si>
  <si>
    <t>99.50</t>
  </si>
  <si>
    <t>107.63</t>
  </si>
  <si>
    <t>124.63</t>
  </si>
  <si>
    <t>Czech Koruna</t>
  </si>
  <si>
    <t>1379</t>
  </si>
  <si>
    <t>1880</t>
  </si>
  <si>
    <t>1959</t>
  </si>
  <si>
    <t>2784.50</t>
  </si>
  <si>
    <t>2698</t>
  </si>
  <si>
    <t>3508</t>
  </si>
  <si>
    <t>1400</t>
  </si>
  <si>
    <t>2100</t>
  </si>
  <si>
    <t>2415</t>
  </si>
  <si>
    <t>2600</t>
  </si>
  <si>
    <t>3200</t>
  </si>
  <si>
    <t>3600</t>
  </si>
  <si>
    <t>6800</t>
  </si>
  <si>
    <t>10000</t>
  </si>
  <si>
    <t>4410</t>
  </si>
  <si>
    <t>Denmark</t>
  </si>
  <si>
    <t>Alamo</t>
  </si>
  <si>
    <t>Danish Krone</t>
  </si>
  <si>
    <t>609</t>
  </si>
  <si>
    <t>695</t>
  </si>
  <si>
    <t>741</t>
  </si>
  <si>
    <t>880</t>
  </si>
  <si>
    <t>1085</t>
  </si>
  <si>
    <t>Enterprise</t>
  </si>
  <si>
    <t>500</t>
  </si>
  <si>
    <t>525</t>
  </si>
  <si>
    <t>600</t>
  </si>
  <si>
    <t>725</t>
  </si>
  <si>
    <t>National</t>
  </si>
  <si>
    <t>686</t>
  </si>
  <si>
    <t>750</t>
  </si>
  <si>
    <t>843</t>
  </si>
  <si>
    <t>842</t>
  </si>
  <si>
    <t>1026</t>
  </si>
  <si>
    <t>1107</t>
  </si>
  <si>
    <t>Dominican Republic</t>
  </si>
  <si>
    <t>Dominican Pesos</t>
  </si>
  <si>
    <t>2694</t>
  </si>
  <si>
    <t>2919</t>
  </si>
  <si>
    <t>3054</t>
  </si>
  <si>
    <t>3188</t>
  </si>
  <si>
    <t>Djibouti</t>
  </si>
  <si>
    <t>39.76</t>
  </si>
  <si>
    <t>85.20</t>
  </si>
  <si>
    <t>90.88</t>
  </si>
  <si>
    <t>142</t>
  </si>
  <si>
    <t>Estonia</t>
  </si>
  <si>
    <t>Europcar (EUR)</t>
  </si>
  <si>
    <t>55</t>
  </si>
  <si>
    <t>67</t>
  </si>
  <si>
    <t>76</t>
  </si>
  <si>
    <t>Kroon</t>
  </si>
  <si>
    <t>58</t>
  </si>
  <si>
    <t>111</t>
  </si>
  <si>
    <t>126</t>
  </si>
  <si>
    <t>Finland</t>
  </si>
  <si>
    <t>74.10</t>
  </si>
  <si>
    <t>81.10</t>
  </si>
  <si>
    <t>100.10</t>
  </si>
  <si>
    <t>124.70</t>
  </si>
  <si>
    <t>150.40</t>
  </si>
  <si>
    <t>220.80</t>
  </si>
  <si>
    <t>161</t>
  </si>
  <si>
    <t>212.70</t>
  </si>
  <si>
    <t>102.10</t>
  </si>
  <si>
    <t>181.70</t>
  </si>
  <si>
    <t>186.70</t>
  </si>
  <si>
    <t>338.40</t>
  </si>
  <si>
    <t>341.80</t>
  </si>
  <si>
    <t>235.20</t>
  </si>
  <si>
    <t>262</t>
  </si>
  <si>
    <t>91.76</t>
  </si>
  <si>
    <t>122.76</t>
  </si>
  <si>
    <t>172.36</t>
  </si>
  <si>
    <t>246.76</t>
  </si>
  <si>
    <t>Europcar (Hybrid Rates)</t>
  </si>
  <si>
    <t>200</t>
  </si>
  <si>
    <t>260</t>
  </si>
  <si>
    <t>France</t>
  </si>
  <si>
    <t>52</t>
  </si>
  <si>
    <t>61</t>
  </si>
  <si>
    <t>264</t>
  </si>
  <si>
    <t>258</t>
  </si>
  <si>
    <t>Enterprise Rent-A-Car</t>
  </si>
  <si>
    <t>59</t>
  </si>
  <si>
    <t>57.9</t>
  </si>
  <si>
    <t>82.13</t>
  </si>
  <si>
    <t>88.86</t>
  </si>
  <si>
    <t>134.64</t>
  </si>
  <si>
    <t>82</t>
  </si>
  <si>
    <t>166</t>
  </si>
  <si>
    <t>Gabun (USD)</t>
  </si>
  <si>
    <t>78</t>
  </si>
  <si>
    <t>198</t>
  </si>
  <si>
    <t>Georgia</t>
  </si>
  <si>
    <t>121</t>
  </si>
  <si>
    <t>Germany</t>
  </si>
  <si>
    <t>Ace</t>
  </si>
  <si>
    <t>171</t>
  </si>
  <si>
    <t>66</t>
  </si>
  <si>
    <t>125</t>
  </si>
  <si>
    <t>168</t>
  </si>
  <si>
    <t>Dollar</t>
  </si>
  <si>
    <t>56</t>
  </si>
  <si>
    <t>113.05</t>
  </si>
  <si>
    <t>95.2</t>
  </si>
  <si>
    <t>271.32</t>
  </si>
  <si>
    <t>101</t>
  </si>
  <si>
    <t>174</t>
  </si>
  <si>
    <t>Thrifty</t>
  </si>
  <si>
    <t>Greece</t>
  </si>
  <si>
    <t>204</t>
  </si>
  <si>
    <t>Guam</t>
  </si>
  <si>
    <t>50</t>
  </si>
  <si>
    <t>162</t>
  </si>
  <si>
    <t>206</t>
  </si>
  <si>
    <t>136</t>
  </si>
  <si>
    <t>Nissan Rent-a-Car</t>
  </si>
  <si>
    <t>Guatemala</t>
  </si>
  <si>
    <t>Ace Rent-A-Car</t>
  </si>
  <si>
    <t>225</t>
  </si>
  <si>
    <t>275</t>
  </si>
  <si>
    <t>Hawaii</t>
  </si>
  <si>
    <t>Ace Rent=A Car</t>
  </si>
  <si>
    <t>Payless Car Rental Systems, Inc</t>
  </si>
  <si>
    <t>79</t>
  </si>
  <si>
    <t>230</t>
  </si>
  <si>
    <t>217</t>
  </si>
  <si>
    <t>243</t>
  </si>
  <si>
    <t>249</t>
  </si>
  <si>
    <t>205</t>
  </si>
  <si>
    <t>Honduras</t>
  </si>
  <si>
    <t>Ace (EUR)</t>
  </si>
  <si>
    <t>Hungary</t>
  </si>
  <si>
    <t>HUF</t>
  </si>
  <si>
    <t>23,004</t>
  </si>
  <si>
    <t>28,116</t>
  </si>
  <si>
    <t>35,783</t>
  </si>
  <si>
    <t>43,437</t>
  </si>
  <si>
    <t>46,050.60</t>
  </si>
  <si>
    <t>91</t>
  </si>
  <si>
    <t>181</t>
  </si>
  <si>
    <t>Iceland</t>
  </si>
  <si>
    <t>Icelandic Kronur</t>
  </si>
  <si>
    <t>10350</t>
  </si>
  <si>
    <t>12180</t>
  </si>
  <si>
    <t>21060</t>
  </si>
  <si>
    <t>17307</t>
  </si>
  <si>
    <t>India</t>
  </si>
  <si>
    <t>INR</t>
  </si>
  <si>
    <t>2200</t>
  </si>
  <si>
    <t>3700</t>
  </si>
  <si>
    <t>10500</t>
  </si>
  <si>
    <t>Iraq</t>
  </si>
  <si>
    <t>179</t>
  </si>
  <si>
    <t>Ireland</t>
  </si>
  <si>
    <t>144</t>
  </si>
  <si>
    <t>153</t>
  </si>
  <si>
    <t>79.22</t>
  </si>
  <si>
    <t>89.67</t>
  </si>
  <si>
    <t>112.37</t>
  </si>
  <si>
    <t>147.32</t>
  </si>
  <si>
    <t>226.55</t>
  </si>
  <si>
    <t>Israel</t>
  </si>
  <si>
    <t>62.81</t>
  </si>
  <si>
    <t>64.17</t>
  </si>
  <si>
    <t>77.78</t>
  </si>
  <si>
    <t>121.49</t>
  </si>
  <si>
    <t>130.47</t>
  </si>
  <si>
    <t>308.51</t>
  </si>
  <si>
    <t>98.27</t>
  </si>
  <si>
    <t>40</t>
  </si>
  <si>
    <t>Italy</t>
  </si>
  <si>
    <t>44.03</t>
  </si>
  <si>
    <t>51.27</t>
  </si>
  <si>
    <t>62.54</t>
  </si>
  <si>
    <t>68.91</t>
  </si>
  <si>
    <t>83.47</t>
  </si>
  <si>
    <t>109.26</t>
  </si>
  <si>
    <t>63.54</t>
  </si>
  <si>
    <t>95.35</t>
  </si>
  <si>
    <t>91.40</t>
  </si>
  <si>
    <t>99.64</t>
  </si>
  <si>
    <t>46.04</t>
  </si>
  <si>
    <t>61.6</t>
  </si>
  <si>
    <t>74.66</t>
  </si>
  <si>
    <t>80.89</t>
  </si>
  <si>
    <t>99.55</t>
  </si>
  <si>
    <t>109</t>
  </si>
  <si>
    <t>Jamaica</t>
  </si>
  <si>
    <t>Japan</t>
  </si>
  <si>
    <t>Yen</t>
  </si>
  <si>
    <t>5,700</t>
  </si>
  <si>
    <t>6,700</t>
  </si>
  <si>
    <t>9,000</t>
  </si>
  <si>
    <t>16,200</t>
  </si>
  <si>
    <t>Jordan</t>
  </si>
  <si>
    <t>Dinar</t>
  </si>
  <si>
    <t>28</t>
  </si>
  <si>
    <t>31</t>
  </si>
  <si>
    <t>46</t>
  </si>
  <si>
    <t>62</t>
  </si>
  <si>
    <t>156</t>
  </si>
  <si>
    <t>Kuwait</t>
  </si>
  <si>
    <t>Kuwait Dinar</t>
  </si>
  <si>
    <t>15</t>
  </si>
  <si>
    <t>17</t>
  </si>
  <si>
    <t>21.5</t>
  </si>
  <si>
    <t>27.5</t>
  </si>
  <si>
    <t>32.5</t>
  </si>
  <si>
    <t>Latvia</t>
  </si>
  <si>
    <t>62.50</t>
  </si>
  <si>
    <t>48.4</t>
  </si>
  <si>
    <t>60.5</t>
  </si>
  <si>
    <t>96.8</t>
  </si>
  <si>
    <t>102.85</t>
  </si>
  <si>
    <t>Lithuania</t>
  </si>
  <si>
    <t>133</t>
  </si>
  <si>
    <t>53.05</t>
  </si>
  <si>
    <t>107.04</t>
  </si>
  <si>
    <t>Luxembourg</t>
  </si>
  <si>
    <t>97.81</t>
  </si>
  <si>
    <t>125.07</t>
  </si>
  <si>
    <t>161.70</t>
  </si>
  <si>
    <t>Malta</t>
  </si>
  <si>
    <t>Mariana Islands</t>
  </si>
  <si>
    <t>Macedonia</t>
  </si>
  <si>
    <t>147</t>
  </si>
  <si>
    <t>148</t>
  </si>
  <si>
    <t>Mexico</t>
  </si>
  <si>
    <t>Mexican Pesos</t>
  </si>
  <si>
    <t>830</t>
  </si>
  <si>
    <t>850</t>
  </si>
  <si>
    <t>875</t>
  </si>
  <si>
    <t>900</t>
  </si>
  <si>
    <t>Sixt (USD)</t>
  </si>
  <si>
    <t>32</t>
  </si>
  <si>
    <t>Monaco</t>
  </si>
  <si>
    <t>Morocco</t>
  </si>
  <si>
    <t>Dirham</t>
  </si>
  <si>
    <t>240</t>
  </si>
  <si>
    <t>245</t>
  </si>
  <si>
    <t>360</t>
  </si>
  <si>
    <t>Netherlands</t>
  </si>
  <si>
    <t>134</t>
  </si>
  <si>
    <t>152</t>
  </si>
  <si>
    <t>143</t>
  </si>
  <si>
    <t>51.72</t>
  </si>
  <si>
    <t>81.01</t>
  </si>
  <si>
    <t>99.97</t>
  </si>
  <si>
    <t>117.2</t>
  </si>
  <si>
    <t>146.49</t>
  </si>
  <si>
    <t>Nicaragua</t>
  </si>
  <si>
    <t>Cordoba</t>
  </si>
  <si>
    <t>2495</t>
  </si>
  <si>
    <t>2706</t>
  </si>
  <si>
    <t>2882</t>
  </si>
  <si>
    <t>2952</t>
  </si>
  <si>
    <t>5274</t>
  </si>
  <si>
    <t>7032</t>
  </si>
  <si>
    <t>Norway</t>
  </si>
  <si>
    <t>Alamo Rent-A-Car</t>
  </si>
  <si>
    <t>Norwegian Krone</t>
  </si>
  <si>
    <t>675</t>
  </si>
  <si>
    <t>710</t>
  </si>
  <si>
    <t>736</t>
  </si>
  <si>
    <t>986</t>
  </si>
  <si>
    <t>Panama</t>
  </si>
  <si>
    <t>Panamanian balboa</t>
  </si>
  <si>
    <t>Paraguay</t>
  </si>
  <si>
    <t>Peru</t>
  </si>
  <si>
    <t>81</t>
  </si>
  <si>
    <t>Poland</t>
  </si>
  <si>
    <t>Ace Rent-A-Car (Polish Zloty)</t>
  </si>
  <si>
    <t>PLN</t>
  </si>
  <si>
    <t>306</t>
  </si>
  <si>
    <t>326</t>
  </si>
  <si>
    <t>367</t>
  </si>
  <si>
    <t>Hertz (PLN)</t>
  </si>
  <si>
    <t>253.24</t>
  </si>
  <si>
    <t>302.52</t>
  </si>
  <si>
    <t>363.7</t>
  </si>
  <si>
    <t>389.1</t>
  </si>
  <si>
    <t>212</t>
  </si>
  <si>
    <t>277</t>
  </si>
  <si>
    <t>182</t>
  </si>
  <si>
    <t>381</t>
  </si>
  <si>
    <t>157</t>
  </si>
  <si>
    <t>Portugal</t>
  </si>
  <si>
    <t>32.4</t>
  </si>
  <si>
    <t>44.3</t>
  </si>
  <si>
    <t>59.9</t>
  </si>
  <si>
    <t>81.9</t>
  </si>
  <si>
    <t>96.2</t>
  </si>
  <si>
    <t>81.6</t>
  </si>
  <si>
    <t>46.88</t>
  </si>
  <si>
    <t>86.15</t>
  </si>
  <si>
    <t>112.75</t>
  </si>
  <si>
    <t>108.95</t>
  </si>
  <si>
    <t>103.89</t>
  </si>
  <si>
    <t>59.40</t>
  </si>
  <si>
    <t>66.40</t>
  </si>
  <si>
    <t>81.40</t>
  </si>
  <si>
    <t>60.40</t>
  </si>
  <si>
    <t>86.40</t>
  </si>
  <si>
    <t>171.40</t>
  </si>
  <si>
    <t>Puerto Rico</t>
  </si>
  <si>
    <t>Qatar</t>
  </si>
  <si>
    <t>Qatari Riyal</t>
  </si>
  <si>
    <t>139</t>
  </si>
  <si>
    <t>325</t>
  </si>
  <si>
    <t>450</t>
  </si>
  <si>
    <t>Romania</t>
  </si>
  <si>
    <t>Ace Rent-A-Car (EUR)</t>
  </si>
  <si>
    <t>93</t>
  </si>
  <si>
    <t>Saint Croix</t>
  </si>
  <si>
    <t>Saint John</t>
  </si>
  <si>
    <t>Saint Lucia</t>
  </si>
  <si>
    <t>Saint Martin</t>
  </si>
  <si>
    <t>Sint Maarten</t>
  </si>
  <si>
    <t>Saint Thomas</t>
  </si>
  <si>
    <t>Saudi Arabia</t>
  </si>
  <si>
    <t>SAR</t>
  </si>
  <si>
    <t>123.64</t>
  </si>
  <si>
    <t>127.03</t>
  </si>
  <si>
    <t>148.37</t>
  </si>
  <si>
    <t>181.50</t>
  </si>
  <si>
    <t>213.75</t>
  </si>
  <si>
    <t>616.00</t>
  </si>
  <si>
    <t>464.11</t>
  </si>
  <si>
    <t>Senegal</t>
  </si>
  <si>
    <t>Serbia</t>
  </si>
  <si>
    <t>Singapore</t>
  </si>
  <si>
    <t>Singapore Dollar</t>
  </si>
  <si>
    <t>186</t>
  </si>
  <si>
    <t>Slovakia</t>
  </si>
  <si>
    <t>71.51</t>
  </si>
  <si>
    <t>Slovenia</t>
  </si>
  <si>
    <t>South Africa</t>
  </si>
  <si>
    <t>Rand</t>
  </si>
  <si>
    <t>276.59</t>
  </si>
  <si>
    <t>429.58</t>
  </si>
  <si>
    <t>430.5</t>
  </si>
  <si>
    <t>658.55</t>
  </si>
  <si>
    <t>759.87</t>
  </si>
  <si>
    <t>472</t>
  </si>
  <si>
    <t>1234</t>
  </si>
  <si>
    <t>1876</t>
  </si>
  <si>
    <t>3025</t>
  </si>
  <si>
    <t>1065</t>
  </si>
  <si>
    <t>2420</t>
  </si>
  <si>
    <t>1752</t>
  </si>
  <si>
    <t>South Korea</t>
  </si>
  <si>
    <t>KRW</t>
  </si>
  <si>
    <t>70400</t>
  </si>
  <si>
    <t>95700</t>
  </si>
  <si>
    <t>168300</t>
  </si>
  <si>
    <t>143000</t>
  </si>
  <si>
    <t>139700</t>
  </si>
  <si>
    <t>Spain</t>
  </si>
  <si>
    <t>41</t>
  </si>
  <si>
    <t>Enterprise Rent- A-Car</t>
  </si>
  <si>
    <t>44.37</t>
  </si>
  <si>
    <t>56.14</t>
  </si>
  <si>
    <t>62.36</t>
  </si>
  <si>
    <t>73.16</t>
  </si>
  <si>
    <t>86.55</t>
  </si>
  <si>
    <t>116.29</t>
  </si>
  <si>
    <t>234</t>
  </si>
  <si>
    <t>Sweden</t>
  </si>
  <si>
    <t>Swedish Krona</t>
  </si>
  <si>
    <t>519</t>
  </si>
  <si>
    <t>562</t>
  </si>
  <si>
    <t>606</t>
  </si>
  <si>
    <t>1212</t>
  </si>
  <si>
    <t>1385</t>
  </si>
  <si>
    <t>588</t>
  </si>
  <si>
    <t>624</t>
  </si>
  <si>
    <t>683</t>
  </si>
  <si>
    <t>694</t>
  </si>
  <si>
    <t>754</t>
  </si>
  <si>
    <t>832</t>
  </si>
  <si>
    <t>1228</t>
  </si>
  <si>
    <t>440</t>
  </si>
  <si>
    <t>470</t>
  </si>
  <si>
    <t>520</t>
  </si>
  <si>
    <t>680</t>
  </si>
  <si>
    <t>1053</t>
  </si>
  <si>
    <t>1295.02</t>
  </si>
  <si>
    <t>1221</t>
  </si>
  <si>
    <t>1506.19</t>
  </si>
  <si>
    <t>Switzerland</t>
  </si>
  <si>
    <t>Swiss Franc</t>
  </si>
  <si>
    <t>188</t>
  </si>
  <si>
    <t>151</t>
  </si>
  <si>
    <t>123.85</t>
  </si>
  <si>
    <t>138.95</t>
  </si>
  <si>
    <t>263.85</t>
  </si>
  <si>
    <t>320</t>
  </si>
  <si>
    <t>178</t>
  </si>
  <si>
    <t>209</t>
  </si>
  <si>
    <t>Thailand</t>
  </si>
  <si>
    <t>Thai Baht</t>
  </si>
  <si>
    <t>1533</t>
  </si>
  <si>
    <t>1756</t>
  </si>
  <si>
    <t>1951</t>
  </si>
  <si>
    <t>2869</t>
  </si>
  <si>
    <t>3420</t>
  </si>
  <si>
    <t>Tortola</t>
  </si>
  <si>
    <t>Trinidad</t>
  </si>
  <si>
    <t>Trinadad &amp; Tobago Dollar</t>
  </si>
  <si>
    <t>415</t>
  </si>
  <si>
    <t>435</t>
  </si>
  <si>
    <t>451</t>
  </si>
  <si>
    <t>460</t>
  </si>
  <si>
    <t>Turkey</t>
  </si>
  <si>
    <t>Alamo (EUR)</t>
  </si>
  <si>
    <t>Enterprise Rent-A-Car (EUR)</t>
  </si>
  <si>
    <t>National Car Rental (EUR)</t>
  </si>
  <si>
    <t>Ukraine</t>
  </si>
  <si>
    <t>UAH</t>
  </si>
  <si>
    <t>1,400</t>
  </si>
  <si>
    <t>1,540</t>
  </si>
  <si>
    <t>2,380</t>
  </si>
  <si>
    <t>United Arab Emirat e</t>
  </si>
  <si>
    <t>UAE Dirham</t>
  </si>
  <si>
    <t>173</t>
  </si>
  <si>
    <t>252</t>
  </si>
  <si>
    <t>756</t>
  </si>
  <si>
    <t>307</t>
  </si>
  <si>
    <t>990</t>
  </si>
  <si>
    <t>340</t>
  </si>
  <si>
    <t>United Kingdom</t>
  </si>
  <si>
    <t>ACE Rent-A-Car (EUR)</t>
  </si>
  <si>
    <t>Alamo (GBP)</t>
  </si>
  <si>
    <t>British Pound</t>
  </si>
  <si>
    <t>Enterprise (GBP)</t>
  </si>
  <si>
    <t>FY24 Factor Value</t>
  </si>
  <si>
    <t>FY22 to FY24 changes yeilded 45.46% escalation, leaving growth rate as FY21 rate for cost realism</t>
  </si>
  <si>
    <t>CONUS ONLY</t>
  </si>
  <si>
    <t>Cargo Van (10ft) - distribution that is heavily skewed.  Mean value is influenced by outliers.</t>
  </si>
  <si>
    <t>PremiumSUV (Giant extended) - distribution that is heavily skewed.  Mean value is influenced by outliers.</t>
  </si>
  <si>
    <t>Values are FY23 and are escalated on the Calculator tab (Cell D8).</t>
  </si>
  <si>
    <t>Future update to add escalation selector.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</si>
</sst>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33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ouble">
        <color indexed="64"/>
      </bottom>
      <diagonal/>
    </border>
    <border>
      <left style="thin">
        <color theme="0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21" fillId="0" borderId="0"/>
    <xf numFmtId="44" fontId="23" fillId="0" borderId="0" applyFont="0" applyFill="0" applyBorder="0" applyAlignment="0" applyProtection="0"/>
  </cellStyleXfs>
  <cellXfs count="123">
    <xf numFmtId="0" fontId="0" fillId="0" borderId="0" xfId="0"/>
    <xf numFmtId="0" fontId="3" fillId="0" borderId="0" xfId="0" applyFont="1"/>
    <xf numFmtId="0" fontId="0" fillId="0" borderId="0" xfId="0" applyAlignment="1">
      <alignment horizontal="left" indent="2"/>
    </xf>
    <xf numFmtId="0" fontId="7" fillId="2" borderId="1" xfId="0" applyFont="1" applyFill="1" applyBorder="1" applyAlignment="1" applyProtection="1">
      <alignment horizontal="center" vertical="center" wrapText="1"/>
      <protection hidden="1"/>
    </xf>
    <xf numFmtId="0" fontId="7" fillId="2" borderId="2" xfId="0" applyFont="1" applyFill="1" applyBorder="1" applyAlignment="1" applyProtection="1">
      <alignment horizontal="center" vertical="center" wrapText="1"/>
      <protection hidden="1"/>
    </xf>
    <xf numFmtId="0" fontId="7" fillId="2" borderId="11" xfId="0" applyFont="1" applyFill="1" applyBorder="1" applyAlignment="1" applyProtection="1">
      <alignment horizontal="center" vertical="center" wrapText="1"/>
      <protection hidden="1"/>
    </xf>
    <xf numFmtId="0" fontId="9" fillId="0" borderId="14" xfId="0" applyFont="1" applyBorder="1" applyProtection="1">
      <protection hidden="1"/>
    </xf>
    <xf numFmtId="0" fontId="10" fillId="7" borderId="5" xfId="0" applyFont="1" applyFill="1" applyBorder="1" applyAlignment="1" applyProtection="1">
      <alignment horizontal="center"/>
      <protection locked="0"/>
    </xf>
    <xf numFmtId="44" fontId="10" fillId="0" borderId="15" xfId="2" applyFont="1" applyBorder="1" applyProtection="1"/>
    <xf numFmtId="0" fontId="9" fillId="0" borderId="19" xfId="0" applyFont="1" applyBorder="1" applyProtection="1">
      <protection hidden="1"/>
    </xf>
    <xf numFmtId="0" fontId="11" fillId="0" borderId="20" xfId="4" applyBorder="1" applyAlignment="1" applyProtection="1">
      <alignment horizontal="left" indent="2"/>
      <protection hidden="1"/>
    </xf>
    <xf numFmtId="0" fontId="10" fillId="0" borderId="21" xfId="0" applyFont="1" applyBorder="1" applyProtection="1">
      <protection hidden="1"/>
    </xf>
    <xf numFmtId="0" fontId="9" fillId="0" borderId="25" xfId="0" applyFont="1" applyBorder="1" applyProtection="1">
      <protection hidden="1"/>
    </xf>
    <xf numFmtId="0" fontId="10" fillId="7" borderId="26" xfId="0" applyFont="1" applyFill="1" applyBorder="1" applyAlignment="1" applyProtection="1">
      <alignment horizontal="center"/>
      <protection locked="0"/>
    </xf>
    <xf numFmtId="0" fontId="10" fillId="0" borderId="27" xfId="0" applyFont="1" applyBorder="1" applyProtection="1">
      <protection hidden="1"/>
    </xf>
    <xf numFmtId="0" fontId="10" fillId="0" borderId="10" xfId="0" applyFont="1" applyBorder="1" applyProtection="1">
      <protection hidden="1"/>
    </xf>
    <xf numFmtId="0" fontId="0" fillId="0" borderId="10" xfId="0" applyBorder="1" applyProtection="1">
      <protection hidden="1"/>
    </xf>
    <xf numFmtId="0" fontId="0" fillId="0" borderId="27" xfId="0" applyBorder="1" applyProtection="1">
      <protection hidden="1"/>
    </xf>
    <xf numFmtId="0" fontId="10" fillId="7" borderId="6" xfId="0" applyFont="1" applyFill="1" applyBorder="1" applyAlignment="1" applyProtection="1">
      <alignment horizontal="center"/>
      <protection locked="0"/>
    </xf>
    <xf numFmtId="0" fontId="0" fillId="0" borderId="28" xfId="0" applyBorder="1" applyProtection="1">
      <protection hidden="1"/>
    </xf>
    <xf numFmtId="0" fontId="10" fillId="0" borderId="0" xfId="0" applyFont="1" applyProtection="1">
      <protection hidden="1"/>
    </xf>
    <xf numFmtId="0" fontId="10" fillId="0" borderId="28" xfId="0" applyFont="1" applyBorder="1" applyProtection="1">
      <protection hidden="1"/>
    </xf>
    <xf numFmtId="0" fontId="9" fillId="0" borderId="20" xfId="0" applyFont="1" applyBorder="1" applyProtection="1">
      <protection hidden="1"/>
    </xf>
    <xf numFmtId="44" fontId="9" fillId="0" borderId="29" xfId="0" applyNumberFormat="1" applyFont="1" applyBorder="1" applyProtection="1"/>
    <xf numFmtId="0" fontId="10" fillId="0" borderId="30" xfId="0" applyFont="1" applyBorder="1" applyProtection="1">
      <protection hidden="1"/>
    </xf>
    <xf numFmtId="0" fontId="0" fillId="0" borderId="31" xfId="0" applyBorder="1" applyProtection="1">
      <protection hidden="1"/>
    </xf>
    <xf numFmtId="0" fontId="0" fillId="0" borderId="30" xfId="0" applyBorder="1" applyProtection="1">
      <protection hidden="1"/>
    </xf>
    <xf numFmtId="0" fontId="9" fillId="0" borderId="33" xfId="0" applyFont="1" applyBorder="1" applyProtection="1"/>
    <xf numFmtId="44" fontId="9" fillId="0" borderId="34" xfId="2" applyFont="1" applyBorder="1" applyProtection="1"/>
    <xf numFmtId="0" fontId="13" fillId="0" borderId="33" xfId="0" applyFont="1" applyBorder="1" applyAlignment="1" applyProtection="1">
      <alignment horizontal="left" indent="2"/>
    </xf>
    <xf numFmtId="44" fontId="13" fillId="0" borderId="34" xfId="2" applyFont="1" applyBorder="1" applyAlignment="1" applyProtection="1">
      <alignment horizontal="left" indent="2"/>
    </xf>
    <xf numFmtId="0" fontId="9" fillId="0" borderId="35" xfId="0" applyFont="1" applyBorder="1" applyProtection="1"/>
    <xf numFmtId="44" fontId="9" fillId="0" borderId="36" xfId="2" applyFont="1" applyBorder="1" applyProtection="1"/>
    <xf numFmtId="44" fontId="0" fillId="0" borderId="30" xfId="0" applyNumberFormat="1" applyBorder="1" applyProtection="1">
      <protection hidden="1"/>
    </xf>
    <xf numFmtId="0" fontId="9" fillId="0" borderId="20" xfId="0" applyFont="1" applyBorder="1" applyProtection="1"/>
    <xf numFmtId="44" fontId="0" fillId="0" borderId="31" xfId="0" applyNumberFormat="1" applyBorder="1" applyProtection="1">
      <protection hidden="1"/>
    </xf>
    <xf numFmtId="0" fontId="0" fillId="0" borderId="37" xfId="0" applyBorder="1" applyProtection="1">
      <protection hidden="1"/>
    </xf>
    <xf numFmtId="0" fontId="3" fillId="0" borderId="37" xfId="0" applyNumberFormat="1" applyFont="1" applyBorder="1" applyProtection="1">
      <protection hidden="1"/>
    </xf>
    <xf numFmtId="0" fontId="11" fillId="0" borderId="28" xfId="4" applyBorder="1" applyProtection="1">
      <protection locked="0"/>
    </xf>
    <xf numFmtId="0" fontId="11" fillId="0" borderId="37" xfId="4" applyBorder="1" applyProtection="1">
      <protection locked="0"/>
    </xf>
    <xf numFmtId="0" fontId="11" fillId="0" borderId="28" xfId="4" applyBorder="1" applyAlignment="1" applyProtection="1">
      <alignment horizontal="left"/>
      <protection locked="0"/>
    </xf>
    <xf numFmtId="0" fontId="3" fillId="7" borderId="38" xfId="0" applyFont="1" applyFill="1" applyBorder="1" applyAlignment="1" applyProtection="1">
      <alignment horizontal="center"/>
      <protection hidden="1"/>
    </xf>
    <xf numFmtId="0" fontId="15" fillId="0" borderId="28" xfId="0" applyFont="1" applyBorder="1" applyProtection="1">
      <protection hidden="1"/>
    </xf>
    <xf numFmtId="0" fontId="3" fillId="0" borderId="0" xfId="0" applyFont="1" applyAlignment="1">
      <alignment horizontal="center"/>
    </xf>
    <xf numFmtId="0" fontId="16" fillId="8" borderId="5" xfId="0" applyFont="1" applyFill="1" applyBorder="1" applyAlignment="1">
      <alignment horizontal="center" wrapText="1"/>
    </xf>
    <xf numFmtId="0" fontId="16" fillId="9" borderId="5" xfId="0" applyFont="1" applyFill="1" applyBorder="1" applyAlignment="1">
      <alignment horizontal="center"/>
    </xf>
    <xf numFmtId="0" fontId="16" fillId="8" borderId="5" xfId="0" applyFont="1" applyFill="1" applyBorder="1" applyAlignment="1">
      <alignment horizontal="center"/>
    </xf>
    <xf numFmtId="164" fontId="17" fillId="0" borderId="5" xfId="0" applyNumberFormat="1" applyFont="1" applyBorder="1"/>
    <xf numFmtId="0" fontId="3" fillId="0" borderId="0" xfId="0" applyFont="1" applyAlignment="1">
      <alignment horizontal="right"/>
    </xf>
    <xf numFmtId="10" fontId="3" fillId="0" borderId="0" xfId="3" applyNumberFormat="1" applyFont="1"/>
    <xf numFmtId="0" fontId="10" fillId="0" borderId="40" xfId="0" applyFont="1" applyBorder="1" applyProtection="1">
      <protection hidden="1"/>
    </xf>
    <xf numFmtId="0" fontId="10" fillId="0" borderId="41" xfId="0" applyFont="1" applyBorder="1" applyProtection="1">
      <protection hidden="1"/>
    </xf>
    <xf numFmtId="0" fontId="0" fillId="0" borderId="0" xfId="0" applyBorder="1" applyProtection="1">
      <protection hidden="1"/>
    </xf>
    <xf numFmtId="0" fontId="9" fillId="0" borderId="1" xfId="0" applyFont="1" applyBorder="1" applyProtection="1">
      <protection hidden="1"/>
    </xf>
    <xf numFmtId="0" fontId="10" fillId="7" borderId="13" xfId="0" applyFont="1" applyFill="1" applyBorder="1" applyAlignment="1" applyProtection="1">
      <alignment horizontal="center"/>
      <protection locked="0"/>
    </xf>
    <xf numFmtId="0" fontId="13" fillId="0" borderId="43" xfId="0" applyFont="1" applyBorder="1" applyAlignment="1" applyProtection="1">
      <alignment horizontal="left" indent="2"/>
    </xf>
    <xf numFmtId="43" fontId="13" fillId="0" borderId="44" xfId="1" applyFont="1" applyBorder="1" applyProtection="1"/>
    <xf numFmtId="0" fontId="6" fillId="0" borderId="0" xfId="0" applyFont="1" applyProtection="1"/>
    <xf numFmtId="0" fontId="0" fillId="0" borderId="0" xfId="0" applyProtection="1"/>
    <xf numFmtId="0" fontId="6" fillId="0" borderId="39" xfId="0" applyFont="1" applyBorder="1" applyProtection="1"/>
    <xf numFmtId="0" fontId="6" fillId="0" borderId="0" xfId="0" applyFont="1" applyFill="1" applyBorder="1" applyProtection="1"/>
    <xf numFmtId="0" fontId="2" fillId="0" borderId="0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left" indent="1"/>
    </xf>
    <xf numFmtId="3" fontId="0" fillId="0" borderId="5" xfId="1" applyNumberFormat="1" applyFont="1" applyBorder="1" applyAlignment="1">
      <alignment horizontal="center"/>
    </xf>
    <xf numFmtId="44" fontId="0" fillId="4" borderId="5" xfId="2" applyFont="1" applyFill="1" applyBorder="1" applyAlignment="1">
      <alignment horizontal="center"/>
    </xf>
    <xf numFmtId="44" fontId="0" fillId="6" borderId="5" xfId="2" applyFont="1" applyFill="1" applyBorder="1" applyAlignment="1">
      <alignment horizontal="center"/>
    </xf>
    <xf numFmtId="44" fontId="0" fillId="0" borderId="5" xfId="2" applyFont="1" applyBorder="1" applyAlignment="1">
      <alignment horizontal="center"/>
    </xf>
    <xf numFmtId="9" fontId="0" fillId="0" borderId="5" xfId="3" applyFont="1" applyBorder="1" applyAlignment="1">
      <alignment horizontal="center"/>
    </xf>
    <xf numFmtId="44" fontId="0" fillId="0" borderId="6" xfId="2" applyFont="1" applyBorder="1" applyAlignment="1">
      <alignment horizontal="center"/>
    </xf>
    <xf numFmtId="0" fontId="4" fillId="2" borderId="4" xfId="0" applyFont="1" applyFill="1" applyBorder="1" applyAlignment="1">
      <alignment horizontal="left" indent="4"/>
    </xf>
    <xf numFmtId="44" fontId="0" fillId="5" borderId="5" xfId="2" applyFont="1" applyFill="1" applyBorder="1" applyAlignment="1">
      <alignment horizontal="center"/>
    </xf>
    <xf numFmtId="44" fontId="0" fillId="0" borderId="5" xfId="2" applyFont="1" applyBorder="1"/>
    <xf numFmtId="44" fontId="0" fillId="0" borderId="6" xfId="2" applyFont="1" applyBorder="1"/>
    <xf numFmtId="0" fontId="4" fillId="2" borderId="4" xfId="0" applyFont="1" applyFill="1" applyBorder="1" applyAlignment="1">
      <alignment horizontal="left" vertical="center" wrapText="1" indent="4"/>
    </xf>
    <xf numFmtId="0" fontId="4" fillId="2" borderId="4" xfId="0" applyFont="1" applyFill="1" applyBorder="1" applyAlignment="1">
      <alignment horizontal="left" vertical="center" indent="4"/>
    </xf>
    <xf numFmtId="0" fontId="4" fillId="2" borderId="7" xfId="0" applyFont="1" applyFill="1" applyBorder="1" applyAlignment="1">
      <alignment horizontal="left" vertical="center" indent="4"/>
    </xf>
    <xf numFmtId="0" fontId="0" fillId="5" borderId="7" xfId="0" applyFill="1" applyBorder="1" applyAlignment="1">
      <alignment horizontal="center"/>
    </xf>
    <xf numFmtId="44" fontId="0" fillId="6" borderId="8" xfId="2" applyFont="1" applyFill="1" applyBorder="1" applyAlignment="1">
      <alignment horizontal="center"/>
    </xf>
    <xf numFmtId="44" fontId="0" fillId="4" borderId="9" xfId="2" applyFont="1" applyFill="1" applyBorder="1" applyAlignment="1">
      <alignment horizontal="center"/>
    </xf>
    <xf numFmtId="0" fontId="5" fillId="0" borderId="10" xfId="0" applyFont="1" applyBorder="1" applyAlignment="1">
      <alignment vertical="top"/>
    </xf>
    <xf numFmtId="0" fontId="0" fillId="0" borderId="10" xfId="0" applyBorder="1"/>
    <xf numFmtId="0" fontId="20" fillId="0" borderId="0" xfId="0" applyFont="1" applyAlignment="1">
      <alignment horizontal="left" indent="2"/>
    </xf>
    <xf numFmtId="44" fontId="10" fillId="0" borderId="45" xfId="2" applyFont="1" applyBorder="1" applyProtection="1"/>
    <xf numFmtId="0" fontId="21" fillId="0" borderId="0" xfId="5"/>
    <xf numFmtId="0" fontId="2" fillId="2" borderId="0" xfId="5" applyFont="1" applyFill="1" applyAlignment="1">
      <alignment horizontal="center" vertical="center" wrapText="1"/>
    </xf>
    <xf numFmtId="44" fontId="0" fillId="0" borderId="0" xfId="6" applyFont="1"/>
    <xf numFmtId="0" fontId="23" fillId="0" borderId="0" xfId="5" applyFont="1"/>
    <xf numFmtId="0" fontId="6" fillId="0" borderId="0" xfId="0" applyFont="1"/>
    <xf numFmtId="0" fontId="24" fillId="0" borderId="0" xfId="0" applyFont="1"/>
    <xf numFmtId="3" fontId="0" fillId="0" borderId="8" xfId="1" applyNumberFormat="1" applyFont="1" applyBorder="1" applyAlignment="1">
      <alignment horizontal="center"/>
    </xf>
    <xf numFmtId="44" fontId="0" fillId="4" borderId="8" xfId="2" applyFont="1" applyFill="1" applyBorder="1" applyAlignment="1">
      <alignment horizontal="center"/>
    </xf>
    <xf numFmtId="44" fontId="0" fillId="0" borderId="8" xfId="2" applyFont="1" applyBorder="1" applyAlignment="1">
      <alignment horizontal="center"/>
    </xf>
    <xf numFmtId="44" fontId="0" fillId="0" borderId="9" xfId="2" applyFont="1" applyBorder="1"/>
    <xf numFmtId="9" fontId="0" fillId="0" borderId="8" xfId="3" applyFont="1" applyBorder="1" applyAlignment="1">
      <alignment horizontal="center"/>
    </xf>
    <xf numFmtId="0" fontId="13" fillId="0" borderId="42" xfId="0" applyFont="1" applyBorder="1" applyAlignment="1" applyProtection="1">
      <alignment horizontal="left" vertical="top" wrapText="1" indent="2"/>
    </xf>
    <xf numFmtId="0" fontId="13" fillId="0" borderId="24" xfId="0" applyFont="1" applyBorder="1" applyAlignment="1" applyProtection="1">
      <alignment horizontal="left" vertical="top" wrapText="1" indent="2"/>
    </xf>
    <xf numFmtId="0" fontId="12" fillId="2" borderId="32" xfId="0" applyFont="1" applyFill="1" applyBorder="1" applyAlignment="1" applyProtection="1">
      <alignment horizontal="center"/>
      <protection hidden="1"/>
    </xf>
    <xf numFmtId="0" fontId="12" fillId="2" borderId="13" xfId="0" applyFont="1" applyFill="1" applyBorder="1" applyAlignment="1" applyProtection="1">
      <alignment horizontal="center"/>
      <protection hidden="1"/>
    </xf>
    <xf numFmtId="0" fontId="8" fillId="2" borderId="11" xfId="0" applyFont="1" applyFill="1" applyBorder="1" applyAlignment="1" applyProtection="1">
      <alignment horizontal="center" vertical="center" wrapText="1"/>
      <protection hidden="1"/>
    </xf>
    <xf numFmtId="0" fontId="8" fillId="2" borderId="12" xfId="0" applyFont="1" applyFill="1" applyBorder="1" applyAlignment="1" applyProtection="1">
      <alignment horizontal="center" vertical="center" wrapText="1"/>
      <protection hidden="1"/>
    </xf>
    <xf numFmtId="0" fontId="8" fillId="2" borderId="13" xfId="0" applyFont="1" applyFill="1" applyBorder="1" applyAlignment="1" applyProtection="1">
      <alignment horizontal="center" vertical="center" wrapText="1"/>
      <protection hidden="1"/>
    </xf>
    <xf numFmtId="0" fontId="10" fillId="0" borderId="16" xfId="0" applyFont="1" applyBorder="1" applyAlignment="1" applyProtection="1">
      <alignment horizontal="center"/>
      <protection hidden="1"/>
    </xf>
    <xf numFmtId="0" fontId="10" fillId="0" borderId="17" xfId="0" applyFont="1" applyBorder="1" applyAlignment="1" applyProtection="1">
      <alignment horizontal="center"/>
      <protection hidden="1"/>
    </xf>
    <xf numFmtId="0" fontId="10" fillId="0" borderId="18" xfId="0" applyFont="1" applyBorder="1" applyAlignment="1" applyProtection="1">
      <alignment horizontal="center"/>
      <protection hidden="1"/>
    </xf>
    <xf numFmtId="0" fontId="10" fillId="0" borderId="22" xfId="0" applyFont="1" applyBorder="1" applyAlignment="1" applyProtection="1">
      <alignment horizontal="center"/>
      <protection hidden="1"/>
    </xf>
    <xf numFmtId="0" fontId="10" fillId="0" borderId="23" xfId="0" applyFont="1" applyBorder="1" applyAlignment="1" applyProtection="1">
      <alignment horizontal="center"/>
      <protection hidden="1"/>
    </xf>
    <xf numFmtId="0" fontId="10" fillId="0" borderId="24" xfId="0" applyFont="1" applyBorder="1" applyAlignment="1" applyProtection="1">
      <alignment horizontal="center"/>
      <protection hidden="1"/>
    </xf>
    <xf numFmtId="0" fontId="2" fillId="2" borderId="32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8" fillId="9" borderId="46" xfId="0" applyFont="1" applyFill="1" applyBorder="1" applyAlignment="1">
      <alignment horizontal="center" textRotation="255"/>
    </xf>
    <xf numFmtId="0" fontId="18" fillId="9" borderId="0" xfId="0" applyFont="1" applyFill="1" applyBorder="1" applyAlignment="1">
      <alignment horizontal="center" textRotation="255"/>
    </xf>
    <xf numFmtId="0" fontId="18" fillId="9" borderId="46" xfId="0" applyFont="1" applyFill="1" applyBorder="1" applyAlignment="1">
      <alignment horizontal="center" vertical="center" textRotation="255"/>
    </xf>
    <xf numFmtId="0" fontId="18" fillId="9" borderId="0" xfId="0" applyFont="1" applyFill="1" applyBorder="1" applyAlignment="1">
      <alignment horizontal="center" vertical="center" textRotation="255"/>
    </xf>
    <xf numFmtId="0" fontId="22" fillId="0" borderId="0" xfId="5" applyFont="1" applyAlignment="1">
      <alignment horizontal="center"/>
    </xf>
    <xf numFmtId="0" fontId="9" fillId="0" borderId="47" xfId="0" applyFont="1" applyBorder="1" applyProtection="1">
      <protection hidden="1"/>
    </xf>
    <xf numFmtId="0" fontId="10" fillId="7" borderId="48" xfId="0" applyFont="1" applyFill="1" applyBorder="1" applyAlignment="1" applyProtection="1">
      <alignment horizontal="center"/>
      <protection locked="0"/>
    </xf>
    <xf numFmtId="0" fontId="25" fillId="0" borderId="28" xfId="4" applyFont="1" applyBorder="1" applyAlignment="1" applyProtection="1">
      <alignment horizontal="left"/>
      <protection locked="0"/>
    </xf>
  </cellXfs>
  <cellStyles count="7">
    <cellStyle name="Comma" xfId="1" builtinId="3"/>
    <cellStyle name="Currency" xfId="2" builtinId="4"/>
    <cellStyle name="Currency 2" xfId="6" xr:uid="{B6A69FAB-4B6A-4183-BAF0-452C08E73EFA}"/>
    <cellStyle name="Hyperlink" xfId="4" builtinId="8"/>
    <cellStyle name="Normal" xfId="0" builtinId="0"/>
    <cellStyle name="Normal 2" xfId="5" xr:uid="{AF14E7D7-B6BB-473C-A8D5-6CC41BE6B250}"/>
    <cellStyle name="Percent" xfId="3" builtinId="5"/>
  </cellStyles>
  <dxfs count="30">
    <dxf>
      <font>
        <b/>
        <i val="0"/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9</xdr:row>
      <xdr:rowOff>133349</xdr:rowOff>
    </xdr:from>
    <xdr:to>
      <xdr:col>6</xdr:col>
      <xdr:colOff>1609725</xdr:colOff>
      <xdr:row>26</xdr:row>
      <xdr:rowOff>600074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05475" y="2209799"/>
          <a:ext cx="6696075" cy="38957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63500" cap="rnd" cmpd="thickThin">
          <a:solidFill>
            <a:schemeClr val="tx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This trip calculator</a:t>
          </a:r>
          <a:r>
            <a:rPr lang="en-US" sz="1200" b="1" baseline="0"/>
            <a:t> is based on negotiated prices and rates for Meals and Incidental Expenses (M&amp;IE), Lodging, Airfare, and Car Rentals for US Federal Government Travel.</a:t>
          </a:r>
        </a:p>
        <a:p>
          <a:endParaRPr lang="en-US" sz="1200" b="1" baseline="0"/>
        </a:p>
        <a:p>
          <a:r>
            <a:rPr lang="en-US" sz="1200" b="1" baseline="0"/>
            <a:t>To generate a trip cost: </a:t>
          </a:r>
        </a:p>
        <a:p>
          <a:r>
            <a:rPr lang="en-US" sz="1200" b="1" baseline="0"/>
            <a:t>1. Select a factor type (the default values are recommended) for each expense type</a:t>
          </a:r>
        </a:p>
        <a:p>
          <a:r>
            <a:rPr lang="en-US" sz="1200" b="1" baseline="0"/>
            <a:t>2. Select a price year (2024 is basis of analysis, but values can be adjusted using escalation rate)</a:t>
          </a:r>
        </a:p>
        <a:p>
          <a:r>
            <a:rPr lang="en-US" sz="1200" b="1" baseline="0"/>
            <a:t>3. Select whether the trip is CONUS (California to Maine, North Dakota to Texas) or OCONUS (outside of the US including Alaska and Hawaii)</a:t>
          </a:r>
        </a:p>
        <a:p>
          <a:r>
            <a:rPr lang="en-US" sz="1200" b="1" baseline="0"/>
            <a:t>4. Input the # of TDY days (travel days included)</a:t>
          </a:r>
        </a:p>
        <a:p>
          <a:r>
            <a:rPr lang="en-US" sz="1200" b="1" baseline="0"/>
            <a:t>5. Input the # of Travelers</a:t>
          </a:r>
        </a:p>
        <a:p>
          <a:r>
            <a:rPr lang="en-US" sz="1200" b="1" baseline="0"/>
            <a:t>6. Select whether the rental car will be shared among the travelers</a:t>
          </a:r>
        </a:p>
        <a:p>
          <a:r>
            <a:rPr lang="en-US" sz="1200" b="1" baseline="0"/>
            <a:t>7. Default Rental Type is generated, but can by overridden if needed (</a:t>
          </a:r>
          <a:r>
            <a:rPr lang="en-US" sz="1200" b="1" baseline="0">
              <a:solidFill>
                <a:srgbClr val="FF0000"/>
              </a:solidFill>
            </a:rPr>
            <a:t>CONUS ONLY</a:t>
          </a:r>
          <a:r>
            <a:rPr lang="en-US" sz="1200" b="1" baseline="0"/>
            <a:t>)</a:t>
          </a:r>
        </a:p>
        <a:p>
          <a:r>
            <a:rPr lang="en-US" sz="1200" b="1" u="none" baseline="0"/>
            <a:t>8. Copy and Paste the Trip Break Down Table into your estimate to document costs and assumptions</a:t>
          </a:r>
        </a:p>
        <a:p>
          <a:endParaRPr lang="en-US" sz="1200" b="1" u="sng" baseline="0"/>
        </a:p>
        <a:p>
          <a:r>
            <a:rPr lang="en-US" sz="1200" b="1" u="sng" baseline="0"/>
            <a:t>CLICK THE RESET BUTTON IN THE TOP LEFT CORNER TO RESTORE ALL DEFAULT VALUE AND FORMULAS</a:t>
          </a:r>
        </a:p>
        <a:p>
          <a:endParaRPr lang="en-US" sz="1200" b="1" baseline="0"/>
        </a:p>
        <a:p>
          <a:endParaRPr lang="en-US" sz="1200" b="1" baseline="0"/>
        </a:p>
        <a:p>
          <a:r>
            <a:rPr lang="en-US" sz="1200" b="1" baseline="0">
              <a:solidFill>
                <a:srgbClr val="FF0000"/>
              </a:solidFill>
            </a:rPr>
            <a:t>This is a factor based calculator and should be applied as such (cross-checking, rough estimates, etc.).  This should not be used as a primary methodology for POE's.  Instead, use program historicals or build-up using expected trip destinations and the sources linked below.    </a:t>
          </a:r>
          <a:endParaRPr lang="en-US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2514600</xdr:colOff>
      <xdr:row>2</xdr:row>
      <xdr:rowOff>190500</xdr:rowOff>
    </xdr:from>
    <xdr:to>
      <xdr:col>2</xdr:col>
      <xdr:colOff>304800</xdr:colOff>
      <xdr:row>4</xdr:row>
      <xdr:rowOff>37161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24200" y="590550"/>
          <a:ext cx="333375" cy="5134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FF0000"/>
              </a:solidFill>
            </a:rPr>
            <a:t>1.</a:t>
          </a:r>
        </a:p>
      </xdr:txBody>
    </xdr:sp>
    <xdr:clientData/>
  </xdr:twoCellAnchor>
  <xdr:twoCellAnchor>
    <xdr:from>
      <xdr:col>1</xdr:col>
      <xdr:colOff>2505075</xdr:colOff>
      <xdr:row>8</xdr:row>
      <xdr:rowOff>173329</xdr:rowOff>
    </xdr:from>
    <xdr:to>
      <xdr:col>2</xdr:col>
      <xdr:colOff>295275</xdr:colOff>
      <xdr:row>11</xdr:row>
      <xdr:rowOff>77140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114675" y="2040229"/>
          <a:ext cx="333375" cy="5134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FF0000"/>
              </a:solidFill>
            </a:rPr>
            <a:t>2.</a:t>
          </a:r>
        </a:p>
      </xdr:txBody>
    </xdr:sp>
    <xdr:clientData/>
  </xdr:twoCellAnchor>
  <xdr:twoCellAnchor>
    <xdr:from>
      <xdr:col>1</xdr:col>
      <xdr:colOff>2514600</xdr:colOff>
      <xdr:row>9</xdr:row>
      <xdr:rowOff>160316</xdr:rowOff>
    </xdr:from>
    <xdr:to>
      <xdr:col>2</xdr:col>
      <xdr:colOff>304800</xdr:colOff>
      <xdr:row>12</xdr:row>
      <xdr:rowOff>73652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124200" y="2236766"/>
          <a:ext cx="333375" cy="5134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FF0000"/>
              </a:solidFill>
            </a:rPr>
            <a:t>3.</a:t>
          </a:r>
        </a:p>
      </xdr:txBody>
    </xdr:sp>
    <xdr:clientData/>
  </xdr:twoCellAnchor>
  <xdr:twoCellAnchor>
    <xdr:from>
      <xdr:col>1</xdr:col>
      <xdr:colOff>2514600</xdr:colOff>
      <xdr:row>10</xdr:row>
      <xdr:rowOff>166352</xdr:rowOff>
    </xdr:from>
    <xdr:to>
      <xdr:col>2</xdr:col>
      <xdr:colOff>304800</xdr:colOff>
      <xdr:row>13</xdr:row>
      <xdr:rowOff>79688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124200" y="2442827"/>
          <a:ext cx="333375" cy="5134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FF0000"/>
              </a:solidFill>
            </a:rPr>
            <a:t>4.</a:t>
          </a:r>
        </a:p>
      </xdr:txBody>
    </xdr:sp>
    <xdr:clientData/>
  </xdr:twoCellAnchor>
  <xdr:twoCellAnchor>
    <xdr:from>
      <xdr:col>1</xdr:col>
      <xdr:colOff>2524125</xdr:colOff>
      <xdr:row>11</xdr:row>
      <xdr:rowOff>162864</xdr:rowOff>
    </xdr:from>
    <xdr:to>
      <xdr:col>2</xdr:col>
      <xdr:colOff>314325</xdr:colOff>
      <xdr:row>14</xdr:row>
      <xdr:rowOff>76200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133725" y="2639364"/>
          <a:ext cx="333375" cy="5134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FF0000"/>
              </a:solidFill>
            </a:rPr>
            <a:t>5.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1</xdr:col>
          <xdr:colOff>2428875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RESET TO DEFAULT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2524125</xdr:colOff>
      <xdr:row>12</xdr:row>
      <xdr:rowOff>162864</xdr:rowOff>
    </xdr:from>
    <xdr:to>
      <xdr:col>2</xdr:col>
      <xdr:colOff>314325</xdr:colOff>
      <xdr:row>15</xdr:row>
      <xdr:rowOff>66675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133725" y="2839389"/>
          <a:ext cx="333375" cy="5134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FF0000"/>
              </a:solidFill>
            </a:rPr>
            <a:t>6.</a:t>
          </a:r>
        </a:p>
      </xdr:txBody>
    </xdr:sp>
    <xdr:clientData/>
  </xdr:twoCellAnchor>
  <xdr:twoCellAnchor>
    <xdr:from>
      <xdr:col>1</xdr:col>
      <xdr:colOff>2524125</xdr:colOff>
      <xdr:row>13</xdr:row>
      <xdr:rowOff>162864</xdr:rowOff>
    </xdr:from>
    <xdr:to>
      <xdr:col>2</xdr:col>
      <xdr:colOff>314325</xdr:colOff>
      <xdr:row>16</xdr:row>
      <xdr:rowOff>47625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133725" y="3039414"/>
          <a:ext cx="333375" cy="5134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FF0000"/>
              </a:solidFill>
            </a:rPr>
            <a:t>7.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48A7C058-4573-4611-BE4E-B7D262BCFC89}" autoFormatId="16" applyNumberFormats="0" applyBorderFormats="0" applyFontFormats="0" applyPatternFormats="0" applyAlignmentFormats="0" applyWidthHeightFormats="0">
  <queryTableRefresh nextId="29">
    <queryTableFields count="2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</queryTableFields>
    <queryTableDeletedFields count="1">
      <deletedField name="Column2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133BEE-DA0A-4E6B-9FB5-909854ACCD45}" name="RentalC_OCO" displayName="RentalC_OCO" ref="A2:AA217" tableType="queryTable" totalsRowShown="0" headerRowDxfId="29">
  <autoFilter ref="A2:AA217" xr:uid="{10932104-2196-4BDD-80D8-0FDD56B8E210}"/>
  <tableColumns count="27">
    <tableColumn id="1" xr3:uid="{147CD084-FC58-4E1A-81FF-4E38EDEB70D5}" uniqueName="1" name="Location" queryTableFieldId="1" dataDxfId="28"/>
    <tableColumn id="2" xr3:uid="{F10C6680-5CB4-4708-A906-81444D39DFE5}" uniqueName="2" name="Vendor" queryTableFieldId="2" dataDxfId="27"/>
    <tableColumn id="3" xr3:uid="{F9663586-E913-4EC4-A815-2DB83DCD0D18}" uniqueName="3" name="Currency" queryTableFieldId="3" dataDxfId="26"/>
    <tableColumn id="4" xr3:uid="{10D6FAE1-F1D9-409A-A510-1DC09DB54BD4}" uniqueName="4" name="Mini" queryTableFieldId="4" dataDxfId="25" dataCellStyle="Currency"/>
    <tableColumn id="5" xr3:uid="{DE7B3D7E-5180-4EC9-B39E-737BA89C5BB2}" uniqueName="5" name="Economy_x000a_(manual)" queryTableFieldId="5" dataDxfId="24" dataCellStyle="Currency"/>
    <tableColumn id="6" xr3:uid="{FE4E16D6-C688-46F6-B03C-B213ADF415CC}" uniqueName="6" name="Economy_x000a_(automatic)" queryTableFieldId="6" dataDxfId="23" dataCellStyle="Currency"/>
    <tableColumn id="7" xr3:uid="{F3630E9B-F832-47A2-BB52-E33185817696}" uniqueName="7" name="Comp_x000a_(manual)" queryTableFieldId="7" dataDxfId="22" dataCellStyle="Currency"/>
    <tableColumn id="8" xr3:uid="{FD5BD3F1-D9E6-4827-8608-A2A701731FB1}" uniqueName="8" name="Comp_x000a_(automatic)" queryTableFieldId="8" dataDxfId="21" dataCellStyle="Currency"/>
    <tableColumn id="9" xr3:uid="{6DFA00CA-7702-4455-9ED6-D27F1E16A840}" uniqueName="9" name="Midsize /_x000a_Intermediate_x000a_(manual)" queryTableFieldId="9" dataDxfId="20" dataCellStyle="Currency"/>
    <tableColumn id="10" xr3:uid="{72AC4A1A-53FA-4A83-9A49-A9315C05F0A8}" uniqueName="10" name="Midsize /_x000a_Intermediate_x000a_(automatic)" queryTableFieldId="10" dataDxfId="19" dataCellStyle="Currency"/>
    <tableColumn id="11" xr3:uid="{BD9DA9DF-3F4F-4CF1-B9E2-CC4A95AE2294}" uniqueName="11" name="Standard_x000a_(automatic)" queryTableFieldId="11" dataDxfId="18" dataCellStyle="Currency"/>
    <tableColumn id="12" xr3:uid="{6E05DB62-E485-4CE6-8260-2878F3DF0D94}" uniqueName="12" name="Fullsize_x000a_(automatic)" queryTableFieldId="12" dataDxfId="17" dataCellStyle="Currency"/>
    <tableColumn id="13" xr3:uid="{3BC2A305-5EBB-4461-946A-E9A26022F3B3}" uniqueName="13" name="Premium" queryTableFieldId="13" dataDxfId="16" dataCellStyle="Currency"/>
    <tableColumn id="14" xr3:uid="{158DAA87-5518-453F-9713-5D7F9E0266F5}" uniqueName="14" name="Luxury" queryTableFieldId="14" dataDxfId="15" dataCellStyle="Currency"/>
    <tableColumn id="15" xr3:uid="{89FFB734-E0EE-4B35-B1A6-836D80ED830A}" uniqueName="15" name="SUV Compact" queryTableFieldId="15" dataDxfId="14" dataCellStyle="Currency"/>
    <tableColumn id="16" xr3:uid="{D9A38796-B915-4E92-8776-A95585A26086}" uniqueName="16" name="SUV Standard_x000a_up to 5 pax" queryTableFieldId="16" dataDxfId="13" dataCellStyle="Currency"/>
    <tableColumn id="17" xr3:uid="{504FD2D6-8FCF-403C-A297-CEEE719BAC70}" uniqueName="17" name="SUV Intermediate_x000a_Pax" queryTableFieldId="17" dataDxfId="12" dataCellStyle="Currency"/>
    <tableColumn id="18" xr3:uid="{A899B481-527B-4A42-A8D9-8E09A6231AA5}" uniqueName="18" name="SUV Fullsize_x000a_up to 7-9 pax" queryTableFieldId="18" dataDxfId="11" dataCellStyle="Currency"/>
    <tableColumn id="19" xr3:uid="{92AA6736-6D94-48E4-A039-8AB14CE31C0D}" uniqueName="19" name="Premium_x000a_SUV" queryTableFieldId="19" dataDxfId="10" dataCellStyle="Currency"/>
    <tableColumn id="20" xr3:uid="{06E8822B-0FC2-43F4-A890-E3424EED8C87}" uniqueName="20" name="Luxury_x000a_SUV" queryTableFieldId="20" dataDxfId="9" dataCellStyle="Currency"/>
    <tableColumn id="21" xr3:uid="{3ADC5BBC-E467-4F62-9566-A4045A854AEB}" uniqueName="21" name="Minivan- Passenger_x000a_Van" queryTableFieldId="21" dataDxfId="8" dataCellStyle="Currency"/>
    <tableColumn id="22" xr3:uid="{8D75DF81-AD58-4F22-8E27-557AB76793F1}" uniqueName="22" name="Van Fullsize 8-10 pax" queryTableFieldId="22" dataDxfId="7" dataCellStyle="Currency"/>
    <tableColumn id="23" xr3:uid="{52CAD14E-FBFB-4F0F-97C4-A410D2A18570}" uniqueName="23" name="Van Fullsize up_x000a_to 12-15 pax" queryTableFieldId="23" dataDxfId="6" dataCellStyle="Currency"/>
    <tableColumn id="24" xr3:uid="{C57FFD4C-97C2-4D3D-8F29-5CCA8245BDF0}" uniqueName="24" name="Pick up Truck" queryTableFieldId="24" dataDxfId="5" dataCellStyle="Currency"/>
    <tableColumn id="25" xr3:uid="{6422D176-7BF7-46FA-BFFC-C01EF1D1CB27}" uniqueName="25" name="Crossover" queryTableFieldId="25" dataDxfId="4" dataCellStyle="Currency"/>
    <tableColumn id="26" xr3:uid="{151B26B1-9893-4D89-AFE3-4C1CF5BF7861}" uniqueName="26" name="Convertible" queryTableFieldId="26" dataDxfId="3" dataCellStyle="Currency"/>
    <tableColumn id="27" xr3:uid="{CB2F5BA7-C9FF-4718-8C06-C2E67A95442D}" uniqueName="27" name="Cargo Van_x000a_(10ft)" queryTableFieldId="27" dataDxfId="2" dataCellStyle="Currency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travel.dod.mil/Programs/Rental-Car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travel.dod.mil/Travel-Transportation-Rates/Per-Diem/Per-Diem-Rate-Lookup/" TargetMode="External"/><Relationship Id="rId1" Type="http://schemas.openxmlformats.org/officeDocument/2006/relationships/hyperlink" Target="https://www.travel.dod.mil/Programs/Rental-Car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gsa.gov/travel/plan-book/per-diem-rates/per-diem-files" TargetMode="External"/><Relationship Id="rId4" Type="http://schemas.openxmlformats.org/officeDocument/2006/relationships/hyperlink" Target="https://www.gsa.gov/travel/plan-book/transportation-airfare-pov-etc/city-pair-program-cpp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36"/>
  <sheetViews>
    <sheetView showGridLines="0" tabSelected="1" workbookViewId="0">
      <selection activeCell="C15" sqref="C15"/>
    </sheetView>
  </sheetViews>
  <sheetFormatPr defaultRowHeight="15" x14ac:dyDescent="0.25"/>
  <cols>
    <col min="2" max="2" width="38.140625" customWidth="1"/>
    <col min="3" max="3" width="36.28515625" customWidth="1"/>
    <col min="4" max="4" width="28.85546875" customWidth="1"/>
    <col min="5" max="7" width="24.7109375" customWidth="1"/>
  </cols>
  <sheetData>
    <row r="1" spans="2:7" ht="15.75" thickBot="1" x14ac:dyDescent="0.3"/>
    <row r="2" spans="2:7" ht="15.75" thickBot="1" x14ac:dyDescent="0.3">
      <c r="C2" s="41" t="s">
        <v>35</v>
      </c>
    </row>
    <row r="3" spans="2:7" ht="15.75" thickBot="1" x14ac:dyDescent="0.3"/>
    <row r="4" spans="2:7" ht="36.75" customHeight="1" x14ac:dyDescent="0.25">
      <c r="B4" s="3" t="s">
        <v>37</v>
      </c>
      <c r="C4" s="4" t="s">
        <v>39</v>
      </c>
      <c r="D4" s="5" t="s">
        <v>725</v>
      </c>
      <c r="E4" s="103" t="s">
        <v>38</v>
      </c>
      <c r="F4" s="104"/>
      <c r="G4" s="105"/>
    </row>
    <row r="5" spans="2:7" ht="15.75" x14ac:dyDescent="0.25">
      <c r="B5" s="6" t="s">
        <v>8</v>
      </c>
      <c r="C5" s="7" t="s">
        <v>1</v>
      </c>
      <c r="D5" s="8">
        <f>IFERROR(VLOOKUP(CONCATENATE(B5,$C$11),Factors!$B$3:$G$24,MATCH(Calculator!$C5,Factors!$B$2:$G$2,0),FALSE),0)</f>
        <v>69.382308845577214</v>
      </c>
      <c r="E5" s="106" t="s">
        <v>48</v>
      </c>
      <c r="F5" s="107"/>
      <c r="G5" s="108"/>
    </row>
    <row r="6" spans="2:7" ht="15.75" x14ac:dyDescent="0.25">
      <c r="B6" s="9" t="s">
        <v>11</v>
      </c>
      <c r="C6" s="7" t="s">
        <v>3</v>
      </c>
      <c r="D6" s="8">
        <f>IFERROR(VLOOKUP(CONCATENATE(B6,$C$11),Factors!$B$3:$G$24,MATCH(Calculator!$C6,Factors!$B$2:$G$2,0),FALSE),0)</f>
        <v>146</v>
      </c>
      <c r="E6" s="106" t="str">
        <f>IF(AND(C6="Mean",C11="CONUS"),"Data distribution is skewed, mean value is influenced by outliers","None")</f>
        <v>None</v>
      </c>
      <c r="F6" s="107"/>
      <c r="G6" s="108"/>
    </row>
    <row r="7" spans="2:7" ht="15.75" x14ac:dyDescent="0.25">
      <c r="B7" s="9" t="s">
        <v>12</v>
      </c>
      <c r="C7" s="7" t="s">
        <v>3</v>
      </c>
      <c r="D7" s="8">
        <f>IFERROR(VLOOKUP(CONCATENATE(B7,$C$11),Factors!$B$3:$G$24,MATCH(Calculator!$C7,Factors!$B$2:$G$2,0),FALSE),0)</f>
        <v>340</v>
      </c>
      <c r="E7" s="106" t="str">
        <f>IF(AND(C7="Mean",C11="CONUS"),"Data distribution is skewed, mean value is influenced by outliers",IF(AND(C7="Median",C11="OCONUS"),"Data distribution is skewed, mean value is influenced by outliers","None"))</f>
        <v>None</v>
      </c>
      <c r="F7" s="107"/>
      <c r="G7" s="108"/>
    </row>
    <row r="8" spans="2:7" ht="15.75" x14ac:dyDescent="0.25">
      <c r="B8" s="9" t="s">
        <v>56</v>
      </c>
      <c r="C8" s="7" t="s">
        <v>1</v>
      </c>
      <c r="D8" s="87">
        <f>IFERROR(VLOOKUP(CONCATENATE(B8,$C$15),Factors!$B$3:$G$24,MATCH(Calculator!$C8,Factors!$B$2:$G$2,0),FALSE),0)</f>
        <v>94.378667660758609</v>
      </c>
      <c r="E8" s="106" t="str">
        <f>IF(AND(C15=Factors!C22,C8="Mean"),"Data distribution is skewed, mean value is influenced by outliers",IF(AND(C15=Factors!C24,C8="Mean"),"Data distribution is skewed, mean value is influenced by outliers","None"))</f>
        <v>None</v>
      </c>
      <c r="F8" s="107"/>
      <c r="G8" s="108"/>
    </row>
    <row r="9" spans="2:7" ht="16.5" thickBot="1" x14ac:dyDescent="0.3">
      <c r="B9" s="10" t="s">
        <v>40</v>
      </c>
      <c r="C9" s="11"/>
      <c r="D9" s="11"/>
      <c r="E9" s="109" t="str">
        <f>IF(C11="OCONUS","OCONUS rental rates will have to be manually added using the link (left)","None")</f>
        <v>None</v>
      </c>
      <c r="F9" s="110"/>
      <c r="G9" s="111"/>
    </row>
    <row r="10" spans="2:7" ht="15.75" x14ac:dyDescent="0.25">
      <c r="B10" s="53" t="s">
        <v>54</v>
      </c>
      <c r="C10" s="54">
        <v>2024</v>
      </c>
      <c r="D10" s="50"/>
      <c r="E10" s="51"/>
      <c r="F10" s="52"/>
      <c r="G10" s="52"/>
    </row>
    <row r="11" spans="2:7" ht="15.75" x14ac:dyDescent="0.25">
      <c r="B11" s="12" t="s">
        <v>41</v>
      </c>
      <c r="C11" s="13" t="s">
        <v>9</v>
      </c>
      <c r="D11" s="14"/>
      <c r="E11" s="15"/>
      <c r="F11" s="16"/>
      <c r="G11" s="17"/>
    </row>
    <row r="12" spans="2:7" ht="15.75" x14ac:dyDescent="0.25">
      <c r="B12" s="12" t="s">
        <v>42</v>
      </c>
      <c r="C12" s="18">
        <v>5</v>
      </c>
      <c r="D12" s="14"/>
      <c r="E12" s="15"/>
      <c r="F12" s="16"/>
      <c r="G12" s="19"/>
    </row>
    <row r="13" spans="2:7" ht="15.75" x14ac:dyDescent="0.25">
      <c r="B13" s="12" t="s">
        <v>43</v>
      </c>
      <c r="C13" s="18">
        <v>1</v>
      </c>
      <c r="D13" s="14"/>
      <c r="E13" s="15"/>
      <c r="F13" s="16"/>
      <c r="G13" s="19"/>
    </row>
    <row r="14" spans="2:7" ht="15.75" x14ac:dyDescent="0.25">
      <c r="B14" s="6" t="s">
        <v>44</v>
      </c>
      <c r="C14" s="18" t="s">
        <v>36</v>
      </c>
      <c r="D14" s="14"/>
      <c r="E14" s="15"/>
      <c r="F14" s="16"/>
      <c r="G14" s="19"/>
    </row>
    <row r="15" spans="2:7" ht="16.5" thickBot="1" x14ac:dyDescent="0.3">
      <c r="B15" s="120" t="s">
        <v>57</v>
      </c>
      <c r="C15" s="121" t="str">
        <f>IF(AND(C14="No",C11="CONUS"),"Economy",IF(C11="CONUS",VLOOKUP(C13,Factors!B29:C43,2,FALSE),"CONUS ONLY"))</f>
        <v>Economy</v>
      </c>
      <c r="D15" s="20"/>
      <c r="E15" s="21"/>
      <c r="F15" s="19"/>
      <c r="G15" s="19"/>
    </row>
    <row r="16" spans="2:7" ht="17.25" thickTop="1" thickBot="1" x14ac:dyDescent="0.3">
      <c r="B16" s="22"/>
      <c r="C16" s="23"/>
      <c r="D16" s="24"/>
      <c r="E16" s="21"/>
      <c r="F16" s="19"/>
      <c r="G16" s="19"/>
    </row>
    <row r="17" spans="2:7" ht="15.75" thickBot="1" x14ac:dyDescent="0.3">
      <c r="B17" s="25"/>
      <c r="C17" s="25"/>
      <c r="D17" s="19"/>
      <c r="E17" s="19"/>
      <c r="F17" s="19"/>
      <c r="G17" s="19"/>
    </row>
    <row r="18" spans="2:7" ht="15.75" x14ac:dyDescent="0.25">
      <c r="B18" s="101" t="str">
        <f>"Trip Break Down CP"&amp;RIGHT(C10,2)&amp;"$"</f>
        <v>Trip Break Down CP24$</v>
      </c>
      <c r="C18" s="102"/>
      <c r="D18" s="26"/>
      <c r="E18" s="19"/>
      <c r="F18" s="19"/>
      <c r="G18" s="19"/>
    </row>
    <row r="19" spans="2:7" ht="15.75" x14ac:dyDescent="0.25">
      <c r="B19" s="27" t="s">
        <v>8</v>
      </c>
      <c r="C19" s="28">
        <f>SUM(C20:C21)</f>
        <v>312.22038980509751</v>
      </c>
      <c r="D19" s="26"/>
      <c r="E19" s="19"/>
      <c r="F19" s="19"/>
      <c r="G19" s="19"/>
    </row>
    <row r="20" spans="2:7" x14ac:dyDescent="0.25">
      <c r="B20" s="29" t="s">
        <v>45</v>
      </c>
      <c r="C20" s="30">
        <f>(D5*0.75*2*C13)*C26</f>
        <v>104.07346326836583</v>
      </c>
      <c r="D20" s="26"/>
      <c r="E20" s="19"/>
      <c r="F20" s="19"/>
      <c r="G20" s="19"/>
    </row>
    <row r="21" spans="2:7" x14ac:dyDescent="0.25">
      <c r="B21" s="29" t="s">
        <v>46</v>
      </c>
      <c r="C21" s="30">
        <f>((C12-2)*D5*C13)*C26</f>
        <v>208.14692653673166</v>
      </c>
      <c r="D21" s="26"/>
      <c r="E21" s="19"/>
      <c r="F21" s="19"/>
      <c r="G21" s="19"/>
    </row>
    <row r="22" spans="2:7" ht="15.75" x14ac:dyDescent="0.25">
      <c r="B22" s="27" t="s">
        <v>11</v>
      </c>
      <c r="C22" s="28">
        <f>((C12-1)*D6*C13)*C26</f>
        <v>584</v>
      </c>
      <c r="D22" s="26"/>
      <c r="E22" s="19"/>
      <c r="F22" s="19"/>
      <c r="G22" s="19"/>
    </row>
    <row r="23" spans="2:7" ht="15.75" x14ac:dyDescent="0.25">
      <c r="B23" s="27" t="s">
        <v>12</v>
      </c>
      <c r="C23" s="28">
        <f>(D7*2*C13)*C26</f>
        <v>680</v>
      </c>
      <c r="D23" s="26"/>
      <c r="E23" s="19"/>
      <c r="F23" s="19"/>
      <c r="G23" s="19"/>
    </row>
    <row r="24" spans="2:7" ht="16.5" thickBot="1" x14ac:dyDescent="0.3">
      <c r="B24" s="31" t="s">
        <v>28</v>
      </c>
      <c r="C24" s="32">
        <f>(IF(C14="No",C13,1)*D8*C12)*C26</f>
        <v>471.89333830379303</v>
      </c>
      <c r="D24" s="33"/>
      <c r="E24" s="19"/>
      <c r="F24" s="19"/>
      <c r="G24" s="19"/>
    </row>
    <row r="25" spans="2:7" ht="17.25" thickTop="1" thickBot="1" x14ac:dyDescent="0.3">
      <c r="B25" s="34" t="str">
        <f>"Total Trip Cost "&amp;RIGHT(B18,5)</f>
        <v>Total Trip Cost CP24$</v>
      </c>
      <c r="C25" s="23">
        <f>SUM(C22:C24,C19)</f>
        <v>2048.1137281088904</v>
      </c>
      <c r="D25" s="26"/>
      <c r="E25" s="19"/>
      <c r="F25" s="19"/>
      <c r="G25" s="19"/>
    </row>
    <row r="26" spans="2:7" x14ac:dyDescent="0.25">
      <c r="B26" s="55" t="s">
        <v>55</v>
      </c>
      <c r="C26" s="56">
        <f>IF(C11="CONUS",(1+'Escalation Tables'!F1)^(Calculator!C10-2024),(1+'Escalation Tables'!F44)^(Calculator!C10-2024))</f>
        <v>1</v>
      </c>
      <c r="D26" s="19"/>
      <c r="E26" s="19"/>
      <c r="F26" s="19"/>
      <c r="G26" s="19"/>
    </row>
    <row r="27" spans="2:7" ht="48.75" customHeight="1" thickBot="1" x14ac:dyDescent="0.3">
      <c r="B27" s="99" t="str">
        <f>"Assumptions: "&amp;B5&amp;"="&amp;C5&amp;", "&amp;B6&amp;"="&amp;C6&amp;", "&amp;B7&amp;"="&amp;C7&amp;", and "&amp;B8&amp;"="&amp;C8&amp;".  "&amp;B10&amp;"="&amp;C10&amp;", "&amp;B11&amp;"="&amp;C11&amp;", TDY Days="&amp;C12&amp;", "&amp;B13&amp;"="&amp;C13&amp;", Shared="&amp;C14&amp;", and Type="&amp;C15</f>
        <v>Assumptions: M&amp;IE=Mean, Lodging=Median, Airfare=Median, and Car Rental (CONUS)=Mean.  Price Year=2024, Location=CONUS, TDY Days=5, # of Travelers=1, Shared=Yes, and Type=Economy</v>
      </c>
      <c r="C27" s="100"/>
      <c r="D27" s="19"/>
      <c r="E27" s="19"/>
      <c r="F27" s="19"/>
      <c r="G27" s="19"/>
    </row>
    <row r="28" spans="2:7" x14ac:dyDescent="0.25">
      <c r="B28" s="19"/>
      <c r="C28" s="25"/>
      <c r="D28" s="36"/>
      <c r="E28" s="36"/>
      <c r="F28" s="36"/>
      <c r="G28" s="36"/>
    </row>
    <row r="29" spans="2:7" x14ac:dyDescent="0.25">
      <c r="B29" s="19"/>
      <c r="C29" s="35"/>
      <c r="D29" s="36"/>
      <c r="E29" s="36"/>
      <c r="F29" s="36"/>
      <c r="G29" s="36"/>
    </row>
    <row r="30" spans="2:7" x14ac:dyDescent="0.25">
      <c r="B30" s="37" t="s">
        <v>30</v>
      </c>
      <c r="C30" s="42"/>
      <c r="D30" s="19"/>
      <c r="E30" s="19"/>
      <c r="F30" s="19"/>
      <c r="G30" s="19"/>
    </row>
    <row r="31" spans="2:7" x14ac:dyDescent="0.25">
      <c r="B31" s="38" t="s">
        <v>31</v>
      </c>
      <c r="C31" s="42"/>
      <c r="D31" s="19"/>
      <c r="E31" s="19"/>
      <c r="F31" s="19"/>
      <c r="G31" s="19"/>
    </row>
    <row r="32" spans="2:7" x14ac:dyDescent="0.25">
      <c r="B32" s="38" t="s">
        <v>32</v>
      </c>
      <c r="C32" s="42"/>
      <c r="D32" s="19"/>
      <c r="E32" s="19"/>
      <c r="F32" s="19"/>
      <c r="G32" s="19"/>
    </row>
    <row r="33" spans="2:7" x14ac:dyDescent="0.25">
      <c r="B33" s="38" t="s">
        <v>12</v>
      </c>
      <c r="C33" s="42"/>
      <c r="D33" s="19"/>
      <c r="E33" s="19"/>
      <c r="F33" s="19"/>
      <c r="G33" s="19"/>
    </row>
    <row r="34" spans="2:7" x14ac:dyDescent="0.25">
      <c r="B34" s="39" t="s">
        <v>33</v>
      </c>
      <c r="C34" s="19"/>
      <c r="D34" s="19"/>
      <c r="E34" s="19"/>
      <c r="F34" s="19"/>
      <c r="G34" s="19"/>
    </row>
    <row r="35" spans="2:7" x14ac:dyDescent="0.25">
      <c r="B35" s="40" t="s">
        <v>34</v>
      </c>
      <c r="C35" s="26"/>
      <c r="D35" s="19"/>
      <c r="E35" s="19"/>
      <c r="F35" s="19"/>
      <c r="G35" s="19"/>
    </row>
    <row r="36" spans="2:7" x14ac:dyDescent="0.25">
      <c r="B36" s="122" t="s">
        <v>58</v>
      </c>
      <c r="C36" s="19"/>
      <c r="D36" s="19"/>
      <c r="E36" s="19"/>
      <c r="F36" s="19"/>
      <c r="G36" s="19"/>
    </row>
  </sheetData>
  <mergeCells count="8">
    <mergeCell ref="B27:C27"/>
    <mergeCell ref="B18:C18"/>
    <mergeCell ref="E4:G4"/>
    <mergeCell ref="E5:G5"/>
    <mergeCell ref="E6:G6"/>
    <mergeCell ref="E7:G7"/>
    <mergeCell ref="E8:G8"/>
    <mergeCell ref="E9:G9"/>
  </mergeCells>
  <conditionalFormatting sqref="E5:E9">
    <cfRule type="expression" dxfId="1" priority="3">
      <formula>E5&lt;&gt;"None"</formula>
    </cfRule>
  </conditionalFormatting>
  <conditionalFormatting sqref="C15">
    <cfRule type="cellIs" dxfId="0" priority="1" operator="equal">
      <formula>"CONUS ONLY"</formula>
    </cfRule>
  </conditionalFormatting>
  <dataValidations count="3">
    <dataValidation type="list" allowBlank="1" showInputMessage="1" showErrorMessage="1" sqref="C5:C8" xr:uid="{00000000-0002-0000-0000-000000000000}">
      <formula1>"Mean, Median, Mode"</formula1>
    </dataValidation>
    <dataValidation type="list" allowBlank="1" showInputMessage="1" showErrorMessage="1" sqref="C11" xr:uid="{00000000-0002-0000-0000-000001000000}">
      <formula1>"CONUS,OCONUS"</formula1>
    </dataValidation>
    <dataValidation type="list" allowBlank="1" showInputMessage="1" showErrorMessage="1" sqref="C14" xr:uid="{00000000-0002-0000-0000-000002000000}">
      <formula1>"Yes, No"</formula1>
    </dataValidation>
  </dataValidations>
  <hyperlinks>
    <hyperlink ref="B34" r:id="rId1" xr:uid="{00000000-0004-0000-0000-000000000000}"/>
    <hyperlink ref="B32" r:id="rId2" xr:uid="{00000000-0004-0000-0000-000001000000}"/>
    <hyperlink ref="B35" r:id="rId3" xr:uid="{00000000-0004-0000-0000-000002000000}"/>
    <hyperlink ref="B33" r:id="rId4" xr:uid="{00000000-0004-0000-0000-000003000000}"/>
    <hyperlink ref="B31" r:id="rId5" xr:uid="{00000000-0004-0000-0000-000004000000}"/>
    <hyperlink ref="B9" location="'Rental Car OCONUS'!A1" display="OCONUS Rentals" xr:uid="{00000000-0004-0000-0000-000005000000}"/>
  </hyperlinks>
  <pageMargins left="0.7" right="0.7" top="0.75" bottom="0.75" header="0.3" footer="0.3"/>
  <pageSetup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Reset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1</xdr:col>
                    <xdr:colOff>2428875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3000000}">
          <x14:formula1>
            <xm:f>Factors!$C$13:$C$25</xm:f>
          </x14:formula1>
          <xm:sqref>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43"/>
  <sheetViews>
    <sheetView showGridLines="0" workbookViewId="0">
      <selection activeCell="C22" sqref="C22"/>
    </sheetView>
  </sheetViews>
  <sheetFormatPr defaultColWidth="9.140625" defaultRowHeight="15" x14ac:dyDescent="0.25"/>
  <cols>
    <col min="1" max="1" width="4.42578125" style="58" customWidth="1"/>
    <col min="2" max="2" width="16.28515625" style="57" customWidth="1"/>
    <col min="3" max="3" width="36.7109375" style="58" customWidth="1"/>
    <col min="4" max="11" width="12.85546875" style="58" customWidth="1"/>
    <col min="12" max="12" width="9.140625" style="58"/>
    <col min="13" max="15" width="12.85546875" style="58" customWidth="1"/>
    <col min="16" max="16384" width="9.140625" style="58"/>
  </cols>
  <sheetData>
    <row r="1" spans="2:11" ht="15.75" thickBot="1" x14ac:dyDescent="0.3"/>
    <row r="2" spans="2:11" x14ac:dyDescent="0.25">
      <c r="C2" s="63" t="s">
        <v>59</v>
      </c>
      <c r="D2" s="64" t="s">
        <v>0</v>
      </c>
      <c r="E2" s="65" t="s">
        <v>1</v>
      </c>
      <c r="F2" s="65" t="s">
        <v>2</v>
      </c>
      <c r="G2" s="65" t="s">
        <v>3</v>
      </c>
      <c r="H2" s="64" t="s">
        <v>4</v>
      </c>
      <c r="I2" s="64" t="s">
        <v>5</v>
      </c>
      <c r="J2" s="64" t="s">
        <v>6</v>
      </c>
      <c r="K2" s="66" t="s">
        <v>7</v>
      </c>
    </row>
    <row r="3" spans="2:11" x14ac:dyDescent="0.25">
      <c r="C3" s="67" t="s">
        <v>8</v>
      </c>
      <c r="D3" s="68">
        <v>2282</v>
      </c>
      <c r="E3" s="69">
        <v>94.073181419807185</v>
      </c>
      <c r="F3" s="69">
        <v>64</v>
      </c>
      <c r="G3" s="69">
        <v>85</v>
      </c>
      <c r="H3" s="71">
        <v>33.960736587721172</v>
      </c>
      <c r="I3" s="72">
        <f>H3/E3</f>
        <v>0.36100338135870369</v>
      </c>
      <c r="J3" s="71">
        <v>0</v>
      </c>
      <c r="K3" s="73">
        <v>299</v>
      </c>
    </row>
    <row r="4" spans="2:11" x14ac:dyDescent="0.25">
      <c r="B4" s="59" t="str">
        <f>CONCATENATE(C3,C4)</f>
        <v>M&amp;IECONUS</v>
      </c>
      <c r="C4" s="74" t="s">
        <v>9</v>
      </c>
      <c r="D4" s="68">
        <v>667</v>
      </c>
      <c r="E4" s="75">
        <v>69.382308845577214</v>
      </c>
      <c r="F4" s="75">
        <v>64</v>
      </c>
      <c r="G4" s="75">
        <v>69</v>
      </c>
      <c r="H4" s="71">
        <v>5.8051199090102905</v>
      </c>
      <c r="I4" s="72">
        <f t="shared" ref="I4:I24" si="0">H4/E4</f>
        <v>8.3668589379615882E-2</v>
      </c>
      <c r="J4" s="71">
        <v>59</v>
      </c>
      <c r="K4" s="73">
        <v>79</v>
      </c>
    </row>
    <row r="5" spans="2:11" x14ac:dyDescent="0.25">
      <c r="B5" s="59" t="str">
        <f>CONCATENATE(C3,C5)</f>
        <v>M&amp;IEOCONUS</v>
      </c>
      <c r="C5" s="74" t="s">
        <v>10</v>
      </c>
      <c r="D5" s="68">
        <v>1615</v>
      </c>
      <c r="E5" s="75">
        <v>104.27058823529411</v>
      </c>
      <c r="F5" s="75">
        <v>121</v>
      </c>
      <c r="G5" s="75">
        <v>105</v>
      </c>
      <c r="H5" s="71">
        <v>35.496101499114005</v>
      </c>
      <c r="I5" s="72">
        <f t="shared" si="0"/>
        <v>0.34042295243424242</v>
      </c>
      <c r="J5" s="71">
        <v>0</v>
      </c>
      <c r="K5" s="73">
        <v>299</v>
      </c>
    </row>
    <row r="6" spans="2:11" x14ac:dyDescent="0.25">
      <c r="B6" s="59"/>
      <c r="C6" s="67" t="s">
        <v>11</v>
      </c>
      <c r="D6" s="68">
        <v>2282</v>
      </c>
      <c r="E6" s="69">
        <v>178.13453111305873</v>
      </c>
      <c r="F6" s="69">
        <v>193</v>
      </c>
      <c r="G6" s="69">
        <v>166</v>
      </c>
      <c r="H6" s="71">
        <v>73.751963977914528</v>
      </c>
      <c r="I6" s="72">
        <f t="shared" si="0"/>
        <v>0.41402395996487346</v>
      </c>
      <c r="J6" s="71">
        <v>0</v>
      </c>
      <c r="K6" s="73">
        <v>485</v>
      </c>
    </row>
    <row r="7" spans="2:11" x14ac:dyDescent="0.25">
      <c r="B7" s="59" t="str">
        <f>CONCATENATE(C6,C7)</f>
        <v>LodgingCONUS</v>
      </c>
      <c r="C7" s="74" t="s">
        <v>9</v>
      </c>
      <c r="D7" s="68">
        <v>667</v>
      </c>
      <c r="E7" s="70">
        <v>164.41079460269864</v>
      </c>
      <c r="F7" s="75">
        <v>107</v>
      </c>
      <c r="G7" s="75">
        <v>146</v>
      </c>
      <c r="H7" s="71">
        <v>57.237706853745927</v>
      </c>
      <c r="I7" s="72">
        <f t="shared" si="0"/>
        <v>0.34813837492885902</v>
      </c>
      <c r="J7" s="71">
        <v>107</v>
      </c>
      <c r="K7" s="73">
        <v>485</v>
      </c>
    </row>
    <row r="8" spans="2:11" x14ac:dyDescent="0.25">
      <c r="B8" s="59" t="str">
        <f>CONCATENATE(C6,C8)</f>
        <v>LodgingOCONUS</v>
      </c>
      <c r="C8" s="74" t="s">
        <v>10</v>
      </c>
      <c r="D8" s="68">
        <v>1615</v>
      </c>
      <c r="E8" s="75">
        <v>183.80247678018577</v>
      </c>
      <c r="F8" s="75">
        <v>193</v>
      </c>
      <c r="G8" s="75">
        <v>181</v>
      </c>
      <c r="H8" s="71">
        <v>78.88503211052894</v>
      </c>
      <c r="I8" s="72">
        <f t="shared" si="0"/>
        <v>0.4291837275123862</v>
      </c>
      <c r="J8" s="71">
        <v>0</v>
      </c>
      <c r="K8" s="73">
        <v>442</v>
      </c>
    </row>
    <row r="9" spans="2:11" x14ac:dyDescent="0.25">
      <c r="B9" s="59" t="str">
        <f t="shared" ref="B8:B24" si="1">CONCATENATE(C8,C9)</f>
        <v>OCONUSAirfare</v>
      </c>
      <c r="C9" s="67" t="s">
        <v>12</v>
      </c>
      <c r="D9" s="68">
        <v>13165</v>
      </c>
      <c r="E9" s="69">
        <v>437.97721230535512</v>
      </c>
      <c r="F9" s="69">
        <v>700</v>
      </c>
      <c r="G9" s="69">
        <v>360</v>
      </c>
      <c r="H9" s="76">
        <v>302.44112743017854</v>
      </c>
      <c r="I9" s="72">
        <f t="shared" si="0"/>
        <v>0.69054078370478866</v>
      </c>
      <c r="J9" s="76">
        <v>33</v>
      </c>
      <c r="K9" s="77">
        <v>3200</v>
      </c>
    </row>
    <row r="10" spans="2:11" x14ac:dyDescent="0.25">
      <c r="B10" s="59" t="str">
        <f>CONCATENATE(C9,C10)</f>
        <v>AirfareCONUS</v>
      </c>
      <c r="C10" s="78" t="s">
        <v>9</v>
      </c>
      <c r="D10" s="68">
        <v>11634</v>
      </c>
      <c r="E10" s="70">
        <v>398.22812446278152</v>
      </c>
      <c r="F10" s="75">
        <v>245</v>
      </c>
      <c r="G10" s="75">
        <v>340</v>
      </c>
      <c r="H10" s="76">
        <v>251.86460478536642</v>
      </c>
      <c r="I10" s="72">
        <f t="shared" si="0"/>
        <v>0.63246312681992845</v>
      </c>
      <c r="J10" s="76">
        <v>33</v>
      </c>
      <c r="K10" s="77">
        <v>3000</v>
      </c>
    </row>
    <row r="11" spans="2:11" x14ac:dyDescent="0.25">
      <c r="B11" s="59" t="str">
        <f>CONCATENATE(C9,C11)</f>
        <v>AirfareOCONUS</v>
      </c>
      <c r="C11" s="78" t="s">
        <v>10</v>
      </c>
      <c r="D11" s="68">
        <v>1531</v>
      </c>
      <c r="E11" s="75">
        <v>740.02873938602215</v>
      </c>
      <c r="F11" s="75">
        <v>700</v>
      </c>
      <c r="G11" s="70">
        <v>629</v>
      </c>
      <c r="H11" s="76">
        <v>448.62551007747106</v>
      </c>
      <c r="I11" s="72">
        <f t="shared" si="0"/>
        <v>0.60622714524530641</v>
      </c>
      <c r="J11" s="76">
        <v>70</v>
      </c>
      <c r="K11" s="77">
        <v>3200</v>
      </c>
    </row>
    <row r="12" spans="2:11" x14ac:dyDescent="0.25">
      <c r="B12" s="59"/>
      <c r="C12" s="67" t="s">
        <v>72</v>
      </c>
      <c r="D12" s="68">
        <v>547</v>
      </c>
      <c r="E12" s="75">
        <v>133.04781775500672</v>
      </c>
      <c r="F12" s="75">
        <v>96.499872283713302</v>
      </c>
      <c r="G12" s="75">
        <v>117.83142299906045</v>
      </c>
      <c r="H12" s="71">
        <v>50.122571214797162</v>
      </c>
      <c r="I12" s="72">
        <f t="shared" si="0"/>
        <v>0.37672599265846285</v>
      </c>
      <c r="J12" s="71">
        <v>57.899923370227981</v>
      </c>
      <c r="K12" s="77">
        <v>293.56276936834888</v>
      </c>
    </row>
    <row r="13" spans="2:11" x14ac:dyDescent="0.25">
      <c r="B13" s="59" t="str">
        <f>CONCATENATE($C$12,C13)</f>
        <v>Car Rental (CONUS)Economy</v>
      </c>
      <c r="C13" s="79" t="s">
        <v>13</v>
      </c>
      <c r="D13" s="68">
        <v>68</v>
      </c>
      <c r="E13" s="75">
        <v>94.378667660758609</v>
      </c>
      <c r="F13" s="75">
        <v>94.468296025108813</v>
      </c>
      <c r="G13" s="75">
        <v>94.468296025108813</v>
      </c>
      <c r="H13" s="71">
        <v>18.128947676090004</v>
      </c>
      <c r="I13" s="72">
        <f t="shared" si="0"/>
        <v>0.19208734479335926</v>
      </c>
      <c r="J13" s="71">
        <v>57.899923370227981</v>
      </c>
      <c r="K13" s="77">
        <v>133.06824493859412</v>
      </c>
    </row>
    <row r="14" spans="2:11" x14ac:dyDescent="0.25">
      <c r="B14" s="59" t="str">
        <f t="shared" ref="B14:B24" si="2">CONCATENATE($C$12,C14)</f>
        <v>Car Rental (CONUS)Compact</v>
      </c>
      <c r="C14" s="79" t="s">
        <v>14</v>
      </c>
      <c r="D14" s="68">
        <v>66</v>
      </c>
      <c r="E14" s="75">
        <v>97.377143849928871</v>
      </c>
      <c r="F14" s="75">
        <v>96.499872283713302</v>
      </c>
      <c r="G14" s="75">
        <v>96.499872283713302</v>
      </c>
      <c r="H14" s="71">
        <v>19.314457663488913</v>
      </c>
      <c r="I14" s="72">
        <f t="shared" si="0"/>
        <v>0.19834693132153333</v>
      </c>
      <c r="J14" s="71">
        <v>57.899923370227981</v>
      </c>
      <c r="K14" s="77">
        <v>137.13139745580312</v>
      </c>
    </row>
    <row r="15" spans="2:11" x14ac:dyDescent="0.25">
      <c r="B15" s="59" t="str">
        <f t="shared" si="2"/>
        <v>Car Rental (CONUS)MidSize</v>
      </c>
      <c r="C15" s="79" t="s">
        <v>65</v>
      </c>
      <c r="D15" s="68">
        <v>67</v>
      </c>
      <c r="E15" s="70">
        <v>100.60850785148806</v>
      </c>
      <c r="F15" s="70">
        <v>98.53144854231779</v>
      </c>
      <c r="G15" s="70">
        <v>98.53144854231779</v>
      </c>
      <c r="H15" s="71">
        <v>20.716929019039132</v>
      </c>
      <c r="I15" s="72">
        <f t="shared" si="0"/>
        <v>0.20591627349866035</v>
      </c>
      <c r="J15" s="71">
        <v>60.947287758134713</v>
      </c>
      <c r="K15" s="77">
        <v>147.28927874882555</v>
      </c>
    </row>
    <row r="16" spans="2:11" x14ac:dyDescent="0.25">
      <c r="B16" s="59" t="str">
        <f t="shared" si="2"/>
        <v>Car Rental (CONUS)Standard</v>
      </c>
      <c r="C16" s="79" t="s">
        <v>66</v>
      </c>
      <c r="D16" s="68">
        <v>26</v>
      </c>
      <c r="E16" s="70">
        <v>92.006963250261066</v>
      </c>
      <c r="F16" s="70">
        <v>99.547236671620041</v>
      </c>
      <c r="G16" s="70">
        <v>91.420931637202074</v>
      </c>
      <c r="H16" s="71">
        <v>19.041569055287781</v>
      </c>
      <c r="I16" s="72">
        <f t="shared" si="0"/>
        <v>0.20695791256031648</v>
      </c>
      <c r="J16" s="71">
        <v>63.994652146041453</v>
      </c>
      <c r="K16" s="77">
        <v>140.17876184370985</v>
      </c>
    </row>
    <row r="17" spans="2:11" x14ac:dyDescent="0.25">
      <c r="B17" s="59" t="str">
        <f t="shared" si="2"/>
        <v>Car Rental (CONUS)Full Size</v>
      </c>
      <c r="C17" s="79" t="s">
        <v>15</v>
      </c>
      <c r="D17" s="68">
        <v>66</v>
      </c>
      <c r="E17" s="70">
        <v>103.74890575191569</v>
      </c>
      <c r="F17" s="70">
        <v>102.59460105952677</v>
      </c>
      <c r="G17" s="70">
        <v>100.56302480092228</v>
      </c>
      <c r="H17" s="71">
        <v>21.017679242877072</v>
      </c>
      <c r="I17" s="72">
        <f t="shared" si="0"/>
        <v>0.20258217752324573</v>
      </c>
      <c r="J17" s="71">
        <v>66.026228404645948</v>
      </c>
      <c r="K17" s="77">
        <v>152.36821939533678</v>
      </c>
    </row>
    <row r="18" spans="2:11" x14ac:dyDescent="0.25">
      <c r="B18" s="59" t="str">
        <f t="shared" si="2"/>
        <v>Car Rental (CONUS)Compact SUV</v>
      </c>
      <c r="C18" s="79" t="s">
        <v>67</v>
      </c>
      <c r="D18" s="68">
        <v>7</v>
      </c>
      <c r="E18" s="70">
        <v>165.71857766616628</v>
      </c>
      <c r="F18" s="70">
        <v>149.32085500743005</v>
      </c>
      <c r="G18" s="70">
        <v>149.32085500743005</v>
      </c>
      <c r="H18" s="71">
        <v>28.277972401686661</v>
      </c>
      <c r="I18" s="72">
        <f t="shared" si="0"/>
        <v>0.17063851741867803</v>
      </c>
      <c r="J18" s="71">
        <v>142.21033810231432</v>
      </c>
      <c r="K18" s="77">
        <v>210.26814276556476</v>
      </c>
    </row>
    <row r="19" spans="2:11" x14ac:dyDescent="0.25">
      <c r="B19" s="59" t="str">
        <f t="shared" si="2"/>
        <v>Car Rental (CONUS)SUV - Standard 
(Up to 5)</v>
      </c>
      <c r="C19" s="79" t="s">
        <v>68</v>
      </c>
      <c r="D19" s="68">
        <v>61</v>
      </c>
      <c r="E19" s="70">
        <v>156.31480606164223</v>
      </c>
      <c r="F19" s="70">
        <v>149.32085500743005</v>
      </c>
      <c r="G19" s="70">
        <v>147.28927874882555</v>
      </c>
      <c r="H19" s="71">
        <v>36.208624927528618</v>
      </c>
      <c r="I19" s="72">
        <f t="shared" si="0"/>
        <v>0.23163912517186547</v>
      </c>
      <c r="J19" s="71">
        <v>99.547236671620041</v>
      </c>
      <c r="K19" s="77">
        <v>270.19964239439724</v>
      </c>
    </row>
    <row r="20" spans="2:11" x14ac:dyDescent="0.25">
      <c r="B20" s="59" t="str">
        <f t="shared" si="2"/>
        <v>Car Rental (CONUS)SUV - Intermediate 
(Up to 6)</v>
      </c>
      <c r="C20" s="79" t="s">
        <v>64</v>
      </c>
      <c r="D20" s="68">
        <v>46</v>
      </c>
      <c r="E20" s="75">
        <v>162.94566535046235</v>
      </c>
      <c r="F20" s="75">
        <v>179.79449888649742</v>
      </c>
      <c r="G20" s="75">
        <v>176.23924043393956</v>
      </c>
      <c r="H20" s="71">
        <v>45.772046897267387</v>
      </c>
      <c r="I20" s="72">
        <f t="shared" si="0"/>
        <v>0.28090374051265005</v>
      </c>
      <c r="J20" s="71">
        <v>84.310414732086358</v>
      </c>
      <c r="K20" s="77">
        <v>255.97860858416581</v>
      </c>
    </row>
    <row r="21" spans="2:11" x14ac:dyDescent="0.25">
      <c r="B21" s="59" t="str">
        <f t="shared" si="2"/>
        <v>Car Rental (CONUS)SUV - Full 
(Up to 9)</v>
      </c>
      <c r="C21" s="79" t="s">
        <v>69</v>
      </c>
      <c r="D21" s="68">
        <v>43</v>
      </c>
      <c r="E21" s="75">
        <v>219.55197380779225</v>
      </c>
      <c r="F21" s="75">
        <v>253.94703232556131</v>
      </c>
      <c r="G21" s="75">
        <v>203.15762586044906</v>
      </c>
      <c r="H21" s="71">
        <v>44.184723433036893</v>
      </c>
      <c r="I21" s="72">
        <f t="shared" si="0"/>
        <v>0.20124949307774662</v>
      </c>
      <c r="J21" s="71">
        <v>100.56302480092228</v>
      </c>
      <c r="K21" s="77">
        <v>285.43646433393093</v>
      </c>
    </row>
    <row r="22" spans="2:11" x14ac:dyDescent="0.25">
      <c r="B22" s="59" t="str">
        <f t="shared" si="2"/>
        <v>Car Rental (CONUS)Premium
SUV
(Giant extended)</v>
      </c>
      <c r="C22" s="79" t="s">
        <v>70</v>
      </c>
      <c r="D22" s="68">
        <v>19</v>
      </c>
      <c r="E22" s="69">
        <v>205.08227705281121</v>
      </c>
      <c r="F22" s="69">
        <v>208.23656650696029</v>
      </c>
      <c r="G22" s="69">
        <v>199.09447334324008</v>
      </c>
      <c r="H22" s="71">
        <v>31.965945552482754</v>
      </c>
      <c r="I22" s="72">
        <f t="shared" si="0"/>
        <v>0.15586888351279193</v>
      </c>
      <c r="J22" s="71">
        <v>177.76292262789292</v>
      </c>
      <c r="K22" s="77">
        <v>293.56276936834888</v>
      </c>
    </row>
    <row r="23" spans="2:11" x14ac:dyDescent="0.25">
      <c r="B23" s="59" t="str">
        <f t="shared" si="2"/>
        <v>Car Rental (CONUS)Minivan‐
7 pax</v>
      </c>
      <c r="C23" s="79" t="s">
        <v>71</v>
      </c>
      <c r="D23" s="68">
        <v>65</v>
      </c>
      <c r="E23" s="75">
        <v>163.32310368211947</v>
      </c>
      <c r="F23" s="75">
        <v>169.63661759347497</v>
      </c>
      <c r="G23" s="75">
        <v>167.60504133487046</v>
      </c>
      <c r="H23" s="71">
        <v>28.026290640853702</v>
      </c>
      <c r="I23" s="72">
        <f t="shared" si="0"/>
        <v>0.17160028195032401</v>
      </c>
      <c r="J23" s="71">
        <v>100.56302480092228</v>
      </c>
      <c r="K23" s="77">
        <v>233.6312697395164</v>
      </c>
    </row>
    <row r="24" spans="2:11" ht="15.75" thickBot="1" x14ac:dyDescent="0.3">
      <c r="B24" s="59" t="str">
        <f t="shared" si="2"/>
        <v>Car Rental (CONUS)Cargo Van
(10ft)</v>
      </c>
      <c r="C24" s="80" t="s">
        <v>60</v>
      </c>
      <c r="D24" s="94">
        <v>13</v>
      </c>
      <c r="E24" s="95">
        <v>139.08483616599975</v>
      </c>
      <c r="F24" s="95">
        <v>141.1945499730121</v>
      </c>
      <c r="G24" s="95">
        <v>141.1945499730121</v>
      </c>
      <c r="H24" s="96">
        <v>19.422800524177177</v>
      </c>
      <c r="I24" s="98">
        <f t="shared" si="0"/>
        <v>0.13964714673133588</v>
      </c>
      <c r="J24" s="96">
        <v>78.215685956272893</v>
      </c>
      <c r="K24" s="97">
        <v>157.44716004184801</v>
      </c>
    </row>
    <row r="25" spans="2:11" ht="15.75" thickBot="1" x14ac:dyDescent="0.3">
      <c r="C25" s="92" t="s">
        <v>727</v>
      </c>
      <c r="D25"/>
      <c r="E25"/>
      <c r="F25"/>
      <c r="G25"/>
      <c r="H25"/>
      <c r="I25"/>
      <c r="J25"/>
      <c r="K25"/>
    </row>
    <row r="26" spans="2:11" x14ac:dyDescent="0.25">
      <c r="C26"/>
      <c r="D26"/>
      <c r="E26" s="112" t="s">
        <v>20</v>
      </c>
      <c r="F26" s="113"/>
      <c r="G26" s="114"/>
      <c r="H26"/>
      <c r="I26"/>
      <c r="J26"/>
      <c r="K26"/>
    </row>
    <row r="27" spans="2:11" ht="15.75" thickBot="1" x14ac:dyDescent="0.3">
      <c r="B27" s="60"/>
      <c r="C27"/>
      <c r="D27"/>
      <c r="E27" s="81" t="s">
        <v>21</v>
      </c>
      <c r="F27" s="82" t="s">
        <v>22</v>
      </c>
      <c r="G27" s="83" t="s">
        <v>23</v>
      </c>
      <c r="H27"/>
      <c r="I27"/>
      <c r="J27"/>
      <c r="K27"/>
    </row>
    <row r="28" spans="2:11" x14ac:dyDescent="0.25">
      <c r="B28" s="61" t="s">
        <v>47</v>
      </c>
      <c r="C28"/>
      <c r="D28"/>
      <c r="E28" s="84" t="s">
        <v>24</v>
      </c>
      <c r="F28" s="85"/>
      <c r="G28" s="85"/>
      <c r="H28"/>
      <c r="I28"/>
      <c r="J28"/>
      <c r="K28"/>
    </row>
    <row r="29" spans="2:11" x14ac:dyDescent="0.25">
      <c r="B29" s="62">
        <v>1</v>
      </c>
      <c r="C29" s="62" t="s">
        <v>13</v>
      </c>
    </row>
    <row r="30" spans="2:11" x14ac:dyDescent="0.25">
      <c r="B30" s="62">
        <v>2</v>
      </c>
      <c r="C30" s="62" t="s">
        <v>14</v>
      </c>
    </row>
    <row r="31" spans="2:11" x14ac:dyDescent="0.25">
      <c r="B31" s="62">
        <v>3</v>
      </c>
      <c r="C31" s="62" t="s">
        <v>15</v>
      </c>
    </row>
    <row r="32" spans="2:11" x14ac:dyDescent="0.25">
      <c r="B32" s="62">
        <v>4</v>
      </c>
      <c r="C32" s="62" t="s">
        <v>16</v>
      </c>
    </row>
    <row r="33" spans="2:3" x14ac:dyDescent="0.25">
      <c r="B33" s="62">
        <v>5</v>
      </c>
      <c r="C33" s="62" t="s">
        <v>16</v>
      </c>
    </row>
    <row r="34" spans="2:3" x14ac:dyDescent="0.25">
      <c r="B34" s="62">
        <v>6</v>
      </c>
      <c r="C34" s="62" t="s">
        <v>17</v>
      </c>
    </row>
    <row r="35" spans="2:3" x14ac:dyDescent="0.25">
      <c r="B35" s="62">
        <v>7</v>
      </c>
      <c r="C35" s="62" t="s">
        <v>18</v>
      </c>
    </row>
    <row r="36" spans="2:3" x14ac:dyDescent="0.25">
      <c r="B36" s="62">
        <v>8</v>
      </c>
      <c r="C36" s="62" t="s">
        <v>18</v>
      </c>
    </row>
    <row r="37" spans="2:3" x14ac:dyDescent="0.25">
      <c r="B37" s="62">
        <v>9</v>
      </c>
      <c r="C37" s="62" t="s">
        <v>18</v>
      </c>
    </row>
    <row r="38" spans="2:3" x14ac:dyDescent="0.25">
      <c r="B38" s="62">
        <v>10</v>
      </c>
      <c r="C38" s="62" t="s">
        <v>19</v>
      </c>
    </row>
    <row r="39" spans="2:3" x14ac:dyDescent="0.25">
      <c r="B39" s="62">
        <v>11</v>
      </c>
      <c r="C39" s="62" t="s">
        <v>19</v>
      </c>
    </row>
    <row r="40" spans="2:3" x14ac:dyDescent="0.25">
      <c r="B40" s="62">
        <v>12</v>
      </c>
      <c r="C40" s="62" t="s">
        <v>19</v>
      </c>
    </row>
    <row r="41" spans="2:3" x14ac:dyDescent="0.25">
      <c r="B41" s="62">
        <v>13</v>
      </c>
      <c r="C41" s="62" t="s">
        <v>19</v>
      </c>
    </row>
    <row r="42" spans="2:3" x14ac:dyDescent="0.25">
      <c r="B42" s="62">
        <v>14</v>
      </c>
      <c r="C42" s="62" t="s">
        <v>19</v>
      </c>
    </row>
    <row r="43" spans="2:3" x14ac:dyDescent="0.25">
      <c r="B43" s="62">
        <v>15</v>
      </c>
      <c r="C43" s="62" t="s">
        <v>19</v>
      </c>
    </row>
  </sheetData>
  <sheetProtection algorithmName="SHA-512" hashValue="p/GOtZfNNn2VKW+KiFUdC1Fvcb6XIoSCc8RTilWldNprD5nXrVDnneYVN+hTrlUbpExFwaxfhgcZpymhMxjGPQ==" saltValue="naTkdo37UuWxBHBFTxZB+w==" spinCount="100000" sheet="1" objects="1" scenarios="1"/>
  <mergeCells count="1">
    <mergeCell ref="E26:G2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Y85"/>
  <sheetViews>
    <sheetView showGridLines="0" zoomScaleNormal="100" workbookViewId="0"/>
  </sheetViews>
  <sheetFormatPr defaultRowHeight="15" x14ac:dyDescent="0.25"/>
  <sheetData>
    <row r="1" spans="1:77" x14ac:dyDescent="0.25">
      <c r="E1" s="48" t="s">
        <v>50</v>
      </c>
      <c r="F1" s="49">
        <v>1.5788129302245376E-2</v>
      </c>
    </row>
    <row r="2" spans="1:77" x14ac:dyDescent="0.25">
      <c r="C2" t="s">
        <v>726</v>
      </c>
    </row>
    <row r="3" spans="1:77" ht="26.25" x14ac:dyDescent="0.25">
      <c r="B3" s="44" t="s">
        <v>49</v>
      </c>
      <c r="C3" s="45">
        <v>1986</v>
      </c>
      <c r="D3" s="45">
        <v>1987</v>
      </c>
      <c r="E3" s="45">
        <v>1988</v>
      </c>
      <c r="F3" s="45">
        <v>1989</v>
      </c>
      <c r="G3" s="45">
        <v>1990</v>
      </c>
      <c r="H3" s="45">
        <v>1991</v>
      </c>
      <c r="I3" s="45">
        <v>1992</v>
      </c>
      <c r="J3" s="45">
        <v>1993</v>
      </c>
      <c r="K3" s="45">
        <v>1994</v>
      </c>
      <c r="L3" s="45">
        <v>1995</v>
      </c>
      <c r="M3" s="45">
        <v>1996</v>
      </c>
      <c r="N3" s="45">
        <v>1997</v>
      </c>
      <c r="O3" s="45">
        <v>1998</v>
      </c>
      <c r="P3" s="45">
        <v>1999</v>
      </c>
      <c r="Q3" s="45">
        <v>2000</v>
      </c>
      <c r="R3" s="45">
        <v>2001</v>
      </c>
      <c r="S3" s="45">
        <v>2002</v>
      </c>
      <c r="T3" s="45">
        <v>2003</v>
      </c>
      <c r="U3" s="45">
        <v>2004</v>
      </c>
      <c r="V3" s="45">
        <v>2005</v>
      </c>
      <c r="W3" s="45">
        <v>2006</v>
      </c>
      <c r="X3" s="45">
        <v>2007</v>
      </c>
      <c r="Y3" s="45">
        <v>2008</v>
      </c>
      <c r="Z3" s="45">
        <v>2009</v>
      </c>
      <c r="AA3" s="45">
        <v>2010</v>
      </c>
      <c r="AB3" s="45">
        <v>2011</v>
      </c>
      <c r="AC3" s="45">
        <v>2012</v>
      </c>
      <c r="AD3" s="45">
        <v>2013</v>
      </c>
      <c r="AE3" s="45">
        <v>2014</v>
      </c>
      <c r="AF3" s="45">
        <v>2015</v>
      </c>
      <c r="AG3" s="45">
        <v>2016</v>
      </c>
      <c r="AH3" s="45">
        <v>2017</v>
      </c>
      <c r="AI3" s="45">
        <v>2018</v>
      </c>
      <c r="AJ3" s="45">
        <v>2019</v>
      </c>
      <c r="AK3" s="45">
        <v>2020</v>
      </c>
      <c r="AL3" s="45">
        <v>2021</v>
      </c>
      <c r="AM3" s="45">
        <v>2022</v>
      </c>
      <c r="AN3" s="45">
        <v>2023</v>
      </c>
      <c r="AO3" s="45">
        <v>2024</v>
      </c>
      <c r="AP3" s="45">
        <v>2025</v>
      </c>
      <c r="AQ3" s="45">
        <v>2026</v>
      </c>
      <c r="AR3" s="45">
        <v>2027</v>
      </c>
      <c r="AS3" s="45">
        <v>2028</v>
      </c>
      <c r="AT3" s="45">
        <v>2029</v>
      </c>
      <c r="AU3" s="45">
        <v>2030</v>
      </c>
      <c r="AV3" s="45">
        <v>2031</v>
      </c>
      <c r="AW3" s="45">
        <v>2032</v>
      </c>
      <c r="AX3" s="45">
        <v>2033</v>
      </c>
      <c r="AY3" s="45">
        <v>2034</v>
      </c>
      <c r="AZ3" s="45">
        <v>2035</v>
      </c>
      <c r="BA3" s="45">
        <v>2036</v>
      </c>
      <c r="BB3" s="45">
        <v>2037</v>
      </c>
      <c r="BC3" s="45">
        <v>2038</v>
      </c>
      <c r="BD3" s="45">
        <v>2039</v>
      </c>
      <c r="BE3" s="45">
        <v>2040</v>
      </c>
      <c r="BF3" s="45">
        <v>2041</v>
      </c>
      <c r="BG3" s="45">
        <v>2042</v>
      </c>
      <c r="BH3" s="45">
        <v>2043</v>
      </c>
      <c r="BI3" s="45">
        <v>2044</v>
      </c>
      <c r="BJ3" s="45">
        <v>2045</v>
      </c>
      <c r="BK3" s="45">
        <v>2046</v>
      </c>
      <c r="BL3" s="45">
        <v>2047</v>
      </c>
      <c r="BM3" s="45">
        <v>2048</v>
      </c>
      <c r="BN3" s="45">
        <v>2049</v>
      </c>
      <c r="BO3" s="45">
        <v>2050</v>
      </c>
      <c r="BP3" s="45">
        <v>2051</v>
      </c>
      <c r="BQ3" s="45">
        <v>2052</v>
      </c>
      <c r="BR3" s="45">
        <v>2053</v>
      </c>
      <c r="BS3" s="45">
        <v>2054</v>
      </c>
      <c r="BT3" s="45">
        <v>2055</v>
      </c>
      <c r="BU3" s="45">
        <v>2056</v>
      </c>
      <c r="BV3" s="45">
        <v>2057</v>
      </c>
      <c r="BW3" s="45">
        <v>2058</v>
      </c>
      <c r="BX3" s="45">
        <v>2059</v>
      </c>
      <c r="BY3" s="45">
        <v>2060</v>
      </c>
    </row>
    <row r="4" spans="1:77" ht="15" customHeight="1" x14ac:dyDescent="0.25">
      <c r="A4" s="117" t="s">
        <v>51</v>
      </c>
      <c r="B4" s="46">
        <v>1986</v>
      </c>
      <c r="C4" s="47">
        <f t="shared" ref="C4:L13" si="0">(1+$F$1)^(C$3-$B4)</f>
        <v>1</v>
      </c>
      <c r="D4" s="47">
        <f t="shared" si="0"/>
        <v>1.0157881293022453</v>
      </c>
      <c r="E4" s="47">
        <f t="shared" si="0"/>
        <v>1.0318255236313549</v>
      </c>
      <c r="F4" s="47">
        <f t="shared" si="0"/>
        <v>1.0481161184158037</v>
      </c>
      <c r="G4" s="47">
        <f t="shared" si="0"/>
        <v>1.0646639112171199</v>
      </c>
      <c r="H4" s="47">
        <f t="shared" si="0"/>
        <v>1.0814729627108499</v>
      </c>
      <c r="I4" s="47">
        <f t="shared" si="0"/>
        <v>1.0985473976830111</v>
      </c>
      <c r="J4" s="47">
        <f t="shared" si="0"/>
        <v>1.1158914060422755</v>
      </c>
      <c r="K4" s="47">
        <f t="shared" si="0"/>
        <v>1.1335092438481353</v>
      </c>
      <c r="L4" s="47">
        <f t="shared" si="0"/>
        <v>1.1514052343553001</v>
      </c>
      <c r="M4" s="47">
        <f t="shared" ref="M4:V13" si="1">(1+$F$1)^(M$3-$B4)</f>
        <v>1.1695837690745834</v>
      </c>
      <c r="N4" s="47">
        <f t="shared" si="1"/>
        <v>1.1880493088505404</v>
      </c>
      <c r="O4" s="47">
        <f t="shared" si="1"/>
        <v>1.2068063849561159</v>
      </c>
      <c r="P4" s="47">
        <f t="shared" si="1"/>
        <v>1.2258596002045781</v>
      </c>
      <c r="Q4" s="47">
        <f t="shared" si="1"/>
        <v>1.2452136300790069</v>
      </c>
      <c r="R4" s="47">
        <f t="shared" si="1"/>
        <v>1.2648732238796123</v>
      </c>
      <c r="S4" s="47">
        <f t="shared" si="1"/>
        <v>1.2848432058891714</v>
      </c>
      <c r="T4" s="47">
        <f t="shared" si="1"/>
        <v>1.3051284765568609</v>
      </c>
      <c r="U4" s="47">
        <f t="shared" si="1"/>
        <v>1.3257340137007831</v>
      </c>
      <c r="V4" s="47">
        <f t="shared" si="1"/>
        <v>1.3466648737294755</v>
      </c>
      <c r="W4" s="47">
        <f t="shared" ref="W4:AF13" si="2">(1+$F$1)^(W$3-$B4)</f>
        <v>1.3679261928827084</v>
      </c>
      <c r="X4" s="47">
        <f t="shared" si="2"/>
        <v>1.3895231884918688</v>
      </c>
      <c r="Y4" s="47">
        <f t="shared" si="2"/>
        <v>1.4114611602602465</v>
      </c>
      <c r="Z4" s="47">
        <f t="shared" si="2"/>
        <v>1.4337454915635324</v>
      </c>
      <c r="AA4" s="47">
        <f t="shared" si="2"/>
        <v>1.4563816507708487</v>
      </c>
      <c r="AB4" s="47">
        <f t="shared" si="2"/>
        <v>1.4793751925866365</v>
      </c>
      <c r="AC4" s="47">
        <f t="shared" si="2"/>
        <v>1.5027317594137282</v>
      </c>
      <c r="AD4" s="47">
        <f t="shared" si="2"/>
        <v>1.5264570827379427</v>
      </c>
      <c r="AE4" s="47">
        <f t="shared" si="2"/>
        <v>1.5505569845345375</v>
      </c>
      <c r="AF4" s="47">
        <f t="shared" si="2"/>
        <v>1.5750373786968681</v>
      </c>
      <c r="AG4" s="47">
        <f t="shared" ref="AG4:AP13" si="3">(1+$F$1)^(AG$3-$B4)</f>
        <v>1.599904272487604</v>
      </c>
      <c r="AH4" s="47">
        <f t="shared" si="3"/>
        <v>1.6251637680128528</v>
      </c>
      <c r="AI4" s="47">
        <f t="shared" si="3"/>
        <v>1.6508220637195639</v>
      </c>
      <c r="AJ4" s="47">
        <f t="shared" si="3"/>
        <v>1.6768854559165678</v>
      </c>
      <c r="AK4" s="47">
        <f t="shared" si="3"/>
        <v>1.7033603403196329</v>
      </c>
      <c r="AL4" s="47">
        <f t="shared" si="3"/>
        <v>1.7302532136209157</v>
      </c>
      <c r="AM4" s="47">
        <f t="shared" si="3"/>
        <v>1.7575706750831883</v>
      </c>
      <c r="AN4" s="47">
        <f t="shared" si="3"/>
        <v>1.7853194281592362</v>
      </c>
      <c r="AO4" s="47">
        <f t="shared" si="3"/>
        <v>1.8135062821368249</v>
      </c>
      <c r="AP4" s="47">
        <f t="shared" si="3"/>
        <v>1.8421381538096351</v>
      </c>
      <c r="AQ4" s="47">
        <f t="shared" ref="AQ4:AZ13" si="4">(1+$F$1)^(AQ$3-$B4)</f>
        <v>1.8712220691745811</v>
      </c>
      <c r="AR4" s="47">
        <f t="shared" si="4"/>
        <v>1.9007651651559245</v>
      </c>
      <c r="AS4" s="47">
        <f t="shared" si="4"/>
        <v>1.9307746913566095</v>
      </c>
      <c r="AT4" s="47">
        <f t="shared" si="4"/>
        <v>1.9612580118372507</v>
      </c>
      <c r="AU4" s="47">
        <f t="shared" si="4"/>
        <v>1.9922226069232016</v>
      </c>
      <c r="AV4" s="47">
        <f t="shared" si="4"/>
        <v>2.0236760750401612</v>
      </c>
      <c r="AW4" s="47">
        <f t="shared" si="4"/>
        <v>2.0556261345787559</v>
      </c>
      <c r="AX4" s="47">
        <f t="shared" si="4"/>
        <v>2.0880806257885594</v>
      </c>
      <c r="AY4" s="47">
        <f t="shared" si="4"/>
        <v>2.1210475127020225</v>
      </c>
      <c r="AZ4" s="47">
        <f t="shared" si="4"/>
        <v>2.1545348850887676</v>
      </c>
      <c r="BA4" s="47">
        <f t="shared" ref="BA4:BJ13" si="5">(1+$F$1)^(BA$3-$B4)</f>
        <v>2.1885509604407476</v>
      </c>
      <c r="BB4" s="47">
        <f t="shared" si="5"/>
        <v>2.2231040859887385</v>
      </c>
      <c r="BC4" s="47">
        <f t="shared" si="5"/>
        <v>2.2582027407506788</v>
      </c>
      <c r="BD4" s="47">
        <f t="shared" si="5"/>
        <v>2.2938555376123353</v>
      </c>
      <c r="BE4" s="47">
        <f t="shared" si="5"/>
        <v>2.3300712254408302</v>
      </c>
      <c r="BF4" s="47">
        <f t="shared" si="5"/>
        <v>2.3668586912315313</v>
      </c>
      <c r="BG4" s="47">
        <f t="shared" si="5"/>
        <v>2.4042269622888375</v>
      </c>
      <c r="BH4" s="47">
        <f t="shared" si="5"/>
        <v>2.4421852084413986</v>
      </c>
      <c r="BI4" s="47">
        <f t="shared" si="5"/>
        <v>2.4807427442923018</v>
      </c>
      <c r="BJ4" s="47">
        <f t="shared" si="5"/>
        <v>2.5199090315047954</v>
      </c>
      <c r="BK4" s="47">
        <f t="shared" ref="BK4:BY13" si="6">(1+$F$1)^(BK$3-$B4)</f>
        <v>2.5596936811240889</v>
      </c>
      <c r="BL4" s="47">
        <f t="shared" si="6"/>
        <v>2.600106455935816</v>
      </c>
      <c r="BM4" s="47">
        <f t="shared" si="6"/>
        <v>2.6411572728617339</v>
      </c>
      <c r="BN4" s="47">
        <f t="shared" si="6"/>
        <v>2.6828562053932403</v>
      </c>
      <c r="BO4" s="47">
        <f t="shared" si="6"/>
        <v>2.7252134860633199</v>
      </c>
      <c r="BP4" s="47">
        <f t="shared" si="6"/>
        <v>2.7682395089575103</v>
      </c>
      <c r="BQ4" s="47">
        <f t="shared" si="6"/>
        <v>2.8119448322645151</v>
      </c>
      <c r="BR4" s="47">
        <f t="shared" si="6"/>
        <v>2.8563401808670879</v>
      </c>
      <c r="BS4" s="47">
        <f t="shared" si="6"/>
        <v>2.9014364489738163</v>
      </c>
      <c r="BT4" s="47">
        <f t="shared" si="6"/>
        <v>2.947244702792462</v>
      </c>
      <c r="BU4" s="47">
        <f t="shared" si="6"/>
        <v>2.9937761832455072</v>
      </c>
      <c r="BV4" s="47">
        <f t="shared" si="6"/>
        <v>3.0410423087285694</v>
      </c>
      <c r="BW4" s="47">
        <f t="shared" si="6"/>
        <v>3.0890546779123746</v>
      </c>
      <c r="BX4" s="47">
        <f t="shared" si="6"/>
        <v>3.1378250725889609</v>
      </c>
      <c r="BY4" s="47">
        <f t="shared" si="6"/>
        <v>3.1873654605628223</v>
      </c>
    </row>
    <row r="5" spans="1:77" x14ac:dyDescent="0.25">
      <c r="A5" s="118"/>
      <c r="B5" s="46">
        <v>1987</v>
      </c>
      <c r="C5" s="47">
        <f t="shared" si="0"/>
        <v>0.98445726146348034</v>
      </c>
      <c r="D5" s="47">
        <f t="shared" si="0"/>
        <v>1</v>
      </c>
      <c r="E5" s="47">
        <f t="shared" si="0"/>
        <v>1.0157881293022453</v>
      </c>
      <c r="F5" s="47">
        <f t="shared" si="0"/>
        <v>1.0318255236313549</v>
      </c>
      <c r="G5" s="47">
        <f t="shared" si="0"/>
        <v>1.0481161184158037</v>
      </c>
      <c r="H5" s="47">
        <f t="shared" si="0"/>
        <v>1.0646639112171199</v>
      </c>
      <c r="I5" s="47">
        <f t="shared" si="0"/>
        <v>1.0814729627108499</v>
      </c>
      <c r="J5" s="47">
        <f t="shared" si="0"/>
        <v>1.0985473976830111</v>
      </c>
      <c r="K5" s="47">
        <f t="shared" si="0"/>
        <v>1.1158914060422755</v>
      </c>
      <c r="L5" s="47">
        <f t="shared" si="0"/>
        <v>1.1335092438481353</v>
      </c>
      <c r="M5" s="47">
        <f t="shared" si="1"/>
        <v>1.1514052343553001</v>
      </c>
      <c r="N5" s="47">
        <f t="shared" si="1"/>
        <v>1.1695837690745834</v>
      </c>
      <c r="O5" s="47">
        <f t="shared" si="1"/>
        <v>1.1880493088505404</v>
      </c>
      <c r="P5" s="47">
        <f t="shared" si="1"/>
        <v>1.2068063849561159</v>
      </c>
      <c r="Q5" s="47">
        <f t="shared" si="1"/>
        <v>1.2258596002045781</v>
      </c>
      <c r="R5" s="47">
        <f t="shared" si="1"/>
        <v>1.2452136300790069</v>
      </c>
      <c r="S5" s="47">
        <f t="shared" si="1"/>
        <v>1.2648732238796123</v>
      </c>
      <c r="T5" s="47">
        <f t="shared" si="1"/>
        <v>1.2848432058891714</v>
      </c>
      <c r="U5" s="47">
        <f t="shared" si="1"/>
        <v>1.3051284765568609</v>
      </c>
      <c r="V5" s="47">
        <f t="shared" si="1"/>
        <v>1.3257340137007831</v>
      </c>
      <c r="W5" s="47">
        <f t="shared" si="2"/>
        <v>1.3466648737294755</v>
      </c>
      <c r="X5" s="47">
        <f t="shared" si="2"/>
        <v>1.3679261928827084</v>
      </c>
      <c r="Y5" s="47">
        <f t="shared" si="2"/>
        <v>1.3895231884918688</v>
      </c>
      <c r="Z5" s="47">
        <f t="shared" si="2"/>
        <v>1.4114611602602465</v>
      </c>
      <c r="AA5" s="47">
        <f t="shared" si="2"/>
        <v>1.4337454915635324</v>
      </c>
      <c r="AB5" s="47">
        <f t="shared" si="2"/>
        <v>1.4563816507708487</v>
      </c>
      <c r="AC5" s="47">
        <f t="shared" si="2"/>
        <v>1.4793751925866365</v>
      </c>
      <c r="AD5" s="47">
        <f t="shared" si="2"/>
        <v>1.5027317594137282</v>
      </c>
      <c r="AE5" s="47">
        <f t="shared" si="2"/>
        <v>1.5264570827379427</v>
      </c>
      <c r="AF5" s="47">
        <f t="shared" si="2"/>
        <v>1.5505569845345375</v>
      </c>
      <c r="AG5" s="47">
        <f t="shared" si="3"/>
        <v>1.5750373786968681</v>
      </c>
      <c r="AH5" s="47">
        <f t="shared" si="3"/>
        <v>1.599904272487604</v>
      </c>
      <c r="AI5" s="47">
        <f t="shared" si="3"/>
        <v>1.6251637680128528</v>
      </c>
      <c r="AJ5" s="47">
        <f t="shared" si="3"/>
        <v>1.6508220637195639</v>
      </c>
      <c r="AK5" s="47">
        <f t="shared" si="3"/>
        <v>1.6768854559165678</v>
      </c>
      <c r="AL5" s="47">
        <f t="shared" si="3"/>
        <v>1.7033603403196329</v>
      </c>
      <c r="AM5" s="47">
        <f t="shared" si="3"/>
        <v>1.7302532136209157</v>
      </c>
      <c r="AN5" s="47">
        <f t="shared" si="3"/>
        <v>1.7575706750831883</v>
      </c>
      <c r="AO5" s="47">
        <f t="shared" si="3"/>
        <v>1.7853194281592362</v>
      </c>
      <c r="AP5" s="47">
        <f t="shared" si="3"/>
        <v>1.8135062821368249</v>
      </c>
      <c r="AQ5" s="47">
        <f t="shared" si="4"/>
        <v>1.8421381538096351</v>
      </c>
      <c r="AR5" s="47">
        <f t="shared" si="4"/>
        <v>1.8712220691745811</v>
      </c>
      <c r="AS5" s="47">
        <f t="shared" si="4"/>
        <v>1.9007651651559245</v>
      </c>
      <c r="AT5" s="47">
        <f t="shared" si="4"/>
        <v>1.9307746913566095</v>
      </c>
      <c r="AU5" s="47">
        <f t="shared" si="4"/>
        <v>1.9612580118372507</v>
      </c>
      <c r="AV5" s="47">
        <f t="shared" si="4"/>
        <v>1.9922226069232016</v>
      </c>
      <c r="AW5" s="47">
        <f t="shared" si="4"/>
        <v>2.0236760750401612</v>
      </c>
      <c r="AX5" s="47">
        <f t="shared" si="4"/>
        <v>2.0556261345787559</v>
      </c>
      <c r="AY5" s="47">
        <f t="shared" si="4"/>
        <v>2.0880806257885594</v>
      </c>
      <c r="AZ5" s="47">
        <f t="shared" si="4"/>
        <v>2.1210475127020225</v>
      </c>
      <c r="BA5" s="47">
        <f t="shared" si="5"/>
        <v>2.1545348850887676</v>
      </c>
      <c r="BB5" s="47">
        <f t="shared" si="5"/>
        <v>2.1885509604407476</v>
      </c>
      <c r="BC5" s="47">
        <f t="shared" si="5"/>
        <v>2.2231040859887385</v>
      </c>
      <c r="BD5" s="47">
        <f t="shared" si="5"/>
        <v>2.2582027407506788</v>
      </c>
      <c r="BE5" s="47">
        <f t="shared" si="5"/>
        <v>2.2938555376123353</v>
      </c>
      <c r="BF5" s="47">
        <f t="shared" si="5"/>
        <v>2.3300712254408302</v>
      </c>
      <c r="BG5" s="47">
        <f t="shared" si="5"/>
        <v>2.3668586912315313</v>
      </c>
      <c r="BH5" s="47">
        <f t="shared" si="5"/>
        <v>2.4042269622888375</v>
      </c>
      <c r="BI5" s="47">
        <f t="shared" si="5"/>
        <v>2.4421852084413986</v>
      </c>
      <c r="BJ5" s="47">
        <f t="shared" si="5"/>
        <v>2.4807427442923018</v>
      </c>
      <c r="BK5" s="47">
        <f t="shared" si="6"/>
        <v>2.5199090315047954</v>
      </c>
      <c r="BL5" s="47">
        <f t="shared" si="6"/>
        <v>2.5596936811240889</v>
      </c>
      <c r="BM5" s="47">
        <f t="shared" si="6"/>
        <v>2.600106455935816</v>
      </c>
      <c r="BN5" s="47">
        <f t="shared" si="6"/>
        <v>2.6411572728617339</v>
      </c>
      <c r="BO5" s="47">
        <f t="shared" si="6"/>
        <v>2.6828562053932403</v>
      </c>
      <c r="BP5" s="47">
        <f t="shared" si="6"/>
        <v>2.7252134860633199</v>
      </c>
      <c r="BQ5" s="47">
        <f t="shared" si="6"/>
        <v>2.7682395089575103</v>
      </c>
      <c r="BR5" s="47">
        <f t="shared" si="6"/>
        <v>2.8119448322645151</v>
      </c>
      <c r="BS5" s="47">
        <f t="shared" si="6"/>
        <v>2.8563401808670879</v>
      </c>
      <c r="BT5" s="47">
        <f t="shared" si="6"/>
        <v>2.9014364489738163</v>
      </c>
      <c r="BU5" s="47">
        <f t="shared" si="6"/>
        <v>2.947244702792462</v>
      </c>
      <c r="BV5" s="47">
        <f t="shared" si="6"/>
        <v>2.9937761832455072</v>
      </c>
      <c r="BW5" s="47">
        <f t="shared" si="6"/>
        <v>3.0410423087285694</v>
      </c>
      <c r="BX5" s="47">
        <f t="shared" si="6"/>
        <v>3.0890546779123746</v>
      </c>
      <c r="BY5" s="47">
        <f t="shared" si="6"/>
        <v>3.1378250725889609</v>
      </c>
    </row>
    <row r="6" spans="1:77" x14ac:dyDescent="0.25">
      <c r="A6" s="118"/>
      <c r="B6" s="46">
        <v>1988</v>
      </c>
      <c r="C6" s="47">
        <f t="shared" si="0"/>
        <v>0.96915609964817517</v>
      </c>
      <c r="D6" s="47">
        <f t="shared" si="0"/>
        <v>0.98445726146348034</v>
      </c>
      <c r="E6" s="47">
        <f t="shared" si="0"/>
        <v>1</v>
      </c>
      <c r="F6" s="47">
        <f t="shared" si="0"/>
        <v>1.0157881293022453</v>
      </c>
      <c r="G6" s="47">
        <f t="shared" si="0"/>
        <v>1.0318255236313549</v>
      </c>
      <c r="H6" s="47">
        <f t="shared" si="0"/>
        <v>1.0481161184158037</v>
      </c>
      <c r="I6" s="47">
        <f t="shared" si="0"/>
        <v>1.0646639112171199</v>
      </c>
      <c r="J6" s="47">
        <f t="shared" si="0"/>
        <v>1.0814729627108499</v>
      </c>
      <c r="K6" s="47">
        <f t="shared" si="0"/>
        <v>1.0985473976830111</v>
      </c>
      <c r="L6" s="47">
        <f t="shared" si="0"/>
        <v>1.1158914060422755</v>
      </c>
      <c r="M6" s="47">
        <f t="shared" si="1"/>
        <v>1.1335092438481353</v>
      </c>
      <c r="N6" s="47">
        <f t="shared" si="1"/>
        <v>1.1514052343553001</v>
      </c>
      <c r="O6" s="47">
        <f t="shared" si="1"/>
        <v>1.1695837690745834</v>
      </c>
      <c r="P6" s="47">
        <f t="shared" si="1"/>
        <v>1.1880493088505404</v>
      </c>
      <c r="Q6" s="47">
        <f t="shared" si="1"/>
        <v>1.2068063849561159</v>
      </c>
      <c r="R6" s="47">
        <f t="shared" si="1"/>
        <v>1.2258596002045781</v>
      </c>
      <c r="S6" s="47">
        <f t="shared" si="1"/>
        <v>1.2452136300790069</v>
      </c>
      <c r="T6" s="47">
        <f t="shared" si="1"/>
        <v>1.2648732238796123</v>
      </c>
      <c r="U6" s="47">
        <f t="shared" si="1"/>
        <v>1.2848432058891714</v>
      </c>
      <c r="V6" s="47">
        <f t="shared" si="1"/>
        <v>1.3051284765568609</v>
      </c>
      <c r="W6" s="47">
        <f t="shared" si="2"/>
        <v>1.3257340137007831</v>
      </c>
      <c r="X6" s="47">
        <f t="shared" si="2"/>
        <v>1.3466648737294755</v>
      </c>
      <c r="Y6" s="47">
        <f t="shared" si="2"/>
        <v>1.3679261928827084</v>
      </c>
      <c r="Z6" s="47">
        <f t="shared" si="2"/>
        <v>1.3895231884918688</v>
      </c>
      <c r="AA6" s="47">
        <f t="shared" si="2"/>
        <v>1.4114611602602465</v>
      </c>
      <c r="AB6" s="47">
        <f t="shared" si="2"/>
        <v>1.4337454915635324</v>
      </c>
      <c r="AC6" s="47">
        <f t="shared" si="2"/>
        <v>1.4563816507708487</v>
      </c>
      <c r="AD6" s="47">
        <f t="shared" si="2"/>
        <v>1.4793751925866365</v>
      </c>
      <c r="AE6" s="47">
        <f t="shared" si="2"/>
        <v>1.5027317594137282</v>
      </c>
      <c r="AF6" s="47">
        <f t="shared" si="2"/>
        <v>1.5264570827379427</v>
      </c>
      <c r="AG6" s="47">
        <f t="shared" si="3"/>
        <v>1.5505569845345375</v>
      </c>
      <c r="AH6" s="47">
        <f t="shared" si="3"/>
        <v>1.5750373786968681</v>
      </c>
      <c r="AI6" s="47">
        <f t="shared" si="3"/>
        <v>1.599904272487604</v>
      </c>
      <c r="AJ6" s="47">
        <f t="shared" si="3"/>
        <v>1.6251637680128528</v>
      </c>
      <c r="AK6" s="47">
        <f t="shared" si="3"/>
        <v>1.6508220637195639</v>
      </c>
      <c r="AL6" s="47">
        <f t="shared" si="3"/>
        <v>1.6768854559165678</v>
      </c>
      <c r="AM6" s="47">
        <f t="shared" si="3"/>
        <v>1.7033603403196329</v>
      </c>
      <c r="AN6" s="47">
        <f t="shared" si="3"/>
        <v>1.7302532136209157</v>
      </c>
      <c r="AO6" s="47">
        <f t="shared" si="3"/>
        <v>1.7575706750831883</v>
      </c>
      <c r="AP6" s="47">
        <f t="shared" si="3"/>
        <v>1.7853194281592362</v>
      </c>
      <c r="AQ6" s="47">
        <f t="shared" si="4"/>
        <v>1.8135062821368249</v>
      </c>
      <c r="AR6" s="47">
        <f t="shared" si="4"/>
        <v>1.8421381538096351</v>
      </c>
      <c r="AS6" s="47">
        <f t="shared" si="4"/>
        <v>1.8712220691745811</v>
      </c>
      <c r="AT6" s="47">
        <f t="shared" si="4"/>
        <v>1.9007651651559245</v>
      </c>
      <c r="AU6" s="47">
        <f t="shared" si="4"/>
        <v>1.9307746913566095</v>
      </c>
      <c r="AV6" s="47">
        <f t="shared" si="4"/>
        <v>1.9612580118372507</v>
      </c>
      <c r="AW6" s="47">
        <f t="shared" si="4"/>
        <v>1.9922226069232016</v>
      </c>
      <c r="AX6" s="47">
        <f t="shared" si="4"/>
        <v>2.0236760750401612</v>
      </c>
      <c r="AY6" s="47">
        <f t="shared" si="4"/>
        <v>2.0556261345787559</v>
      </c>
      <c r="AZ6" s="47">
        <f t="shared" si="4"/>
        <v>2.0880806257885594</v>
      </c>
      <c r="BA6" s="47">
        <f t="shared" si="5"/>
        <v>2.1210475127020225</v>
      </c>
      <c r="BB6" s="47">
        <f t="shared" si="5"/>
        <v>2.1545348850887676</v>
      </c>
      <c r="BC6" s="47">
        <f t="shared" si="5"/>
        <v>2.1885509604407476</v>
      </c>
      <c r="BD6" s="47">
        <f t="shared" si="5"/>
        <v>2.2231040859887385</v>
      </c>
      <c r="BE6" s="47">
        <f t="shared" si="5"/>
        <v>2.2582027407506788</v>
      </c>
      <c r="BF6" s="47">
        <f t="shared" si="5"/>
        <v>2.2938555376123353</v>
      </c>
      <c r="BG6" s="47">
        <f t="shared" si="5"/>
        <v>2.3300712254408302</v>
      </c>
      <c r="BH6" s="47">
        <f t="shared" si="5"/>
        <v>2.3668586912315313</v>
      </c>
      <c r="BI6" s="47">
        <f t="shared" si="5"/>
        <v>2.4042269622888375</v>
      </c>
      <c r="BJ6" s="47">
        <f t="shared" si="5"/>
        <v>2.4421852084413986</v>
      </c>
      <c r="BK6" s="47">
        <f t="shared" si="6"/>
        <v>2.4807427442923018</v>
      </c>
      <c r="BL6" s="47">
        <f t="shared" si="6"/>
        <v>2.5199090315047954</v>
      </c>
      <c r="BM6" s="47">
        <f t="shared" si="6"/>
        <v>2.5596936811240889</v>
      </c>
      <c r="BN6" s="47">
        <f t="shared" si="6"/>
        <v>2.600106455935816</v>
      </c>
      <c r="BO6" s="47">
        <f t="shared" si="6"/>
        <v>2.6411572728617339</v>
      </c>
      <c r="BP6" s="47">
        <f t="shared" si="6"/>
        <v>2.6828562053932403</v>
      </c>
      <c r="BQ6" s="47">
        <f t="shared" si="6"/>
        <v>2.7252134860633199</v>
      </c>
      <c r="BR6" s="47">
        <f t="shared" si="6"/>
        <v>2.7682395089575103</v>
      </c>
      <c r="BS6" s="47">
        <f t="shared" si="6"/>
        <v>2.8119448322645151</v>
      </c>
      <c r="BT6" s="47">
        <f t="shared" si="6"/>
        <v>2.8563401808670879</v>
      </c>
      <c r="BU6" s="47">
        <f t="shared" si="6"/>
        <v>2.9014364489738163</v>
      </c>
      <c r="BV6" s="47">
        <f t="shared" si="6"/>
        <v>2.947244702792462</v>
      </c>
      <c r="BW6" s="47">
        <f t="shared" si="6"/>
        <v>2.9937761832455072</v>
      </c>
      <c r="BX6" s="47">
        <f t="shared" si="6"/>
        <v>3.0410423087285694</v>
      </c>
      <c r="BY6" s="47">
        <f t="shared" si="6"/>
        <v>3.0890546779123746</v>
      </c>
    </row>
    <row r="7" spans="1:77" x14ac:dyDescent="0.25">
      <c r="A7" s="118"/>
      <c r="B7" s="46">
        <v>1989</v>
      </c>
      <c r="C7" s="47">
        <f t="shared" si="0"/>
        <v>0.95409275979027042</v>
      </c>
      <c r="D7" s="47">
        <f t="shared" si="0"/>
        <v>0.96915609964817517</v>
      </c>
      <c r="E7" s="47">
        <f t="shared" si="0"/>
        <v>0.98445726146348034</v>
      </c>
      <c r="F7" s="47">
        <f t="shared" si="0"/>
        <v>1</v>
      </c>
      <c r="G7" s="47">
        <f t="shared" si="0"/>
        <v>1.0157881293022453</v>
      </c>
      <c r="H7" s="47">
        <f t="shared" si="0"/>
        <v>1.0318255236313549</v>
      </c>
      <c r="I7" s="47">
        <f t="shared" si="0"/>
        <v>1.0481161184158037</v>
      </c>
      <c r="J7" s="47">
        <f t="shared" si="0"/>
        <v>1.0646639112171199</v>
      </c>
      <c r="K7" s="47">
        <f t="shared" si="0"/>
        <v>1.0814729627108499</v>
      </c>
      <c r="L7" s="47">
        <f t="shared" si="0"/>
        <v>1.0985473976830111</v>
      </c>
      <c r="M7" s="47">
        <f t="shared" si="1"/>
        <v>1.1158914060422755</v>
      </c>
      <c r="N7" s="47">
        <f t="shared" si="1"/>
        <v>1.1335092438481353</v>
      </c>
      <c r="O7" s="47">
        <f t="shared" si="1"/>
        <v>1.1514052343553001</v>
      </c>
      <c r="P7" s="47">
        <f t="shared" si="1"/>
        <v>1.1695837690745834</v>
      </c>
      <c r="Q7" s="47">
        <f t="shared" si="1"/>
        <v>1.1880493088505404</v>
      </c>
      <c r="R7" s="47">
        <f t="shared" si="1"/>
        <v>1.2068063849561159</v>
      </c>
      <c r="S7" s="47">
        <f t="shared" si="1"/>
        <v>1.2258596002045781</v>
      </c>
      <c r="T7" s="47">
        <f t="shared" si="1"/>
        <v>1.2452136300790069</v>
      </c>
      <c r="U7" s="47">
        <f t="shared" si="1"/>
        <v>1.2648732238796123</v>
      </c>
      <c r="V7" s="47">
        <f t="shared" si="1"/>
        <v>1.2848432058891714</v>
      </c>
      <c r="W7" s="47">
        <f t="shared" si="2"/>
        <v>1.3051284765568609</v>
      </c>
      <c r="X7" s="47">
        <f t="shared" si="2"/>
        <v>1.3257340137007831</v>
      </c>
      <c r="Y7" s="47">
        <f t="shared" si="2"/>
        <v>1.3466648737294755</v>
      </c>
      <c r="Z7" s="47">
        <f t="shared" si="2"/>
        <v>1.3679261928827084</v>
      </c>
      <c r="AA7" s="47">
        <f t="shared" si="2"/>
        <v>1.3895231884918688</v>
      </c>
      <c r="AB7" s="47">
        <f t="shared" si="2"/>
        <v>1.4114611602602465</v>
      </c>
      <c r="AC7" s="47">
        <f t="shared" si="2"/>
        <v>1.4337454915635324</v>
      </c>
      <c r="AD7" s="47">
        <f t="shared" si="2"/>
        <v>1.4563816507708487</v>
      </c>
      <c r="AE7" s="47">
        <f t="shared" si="2"/>
        <v>1.4793751925866365</v>
      </c>
      <c r="AF7" s="47">
        <f t="shared" si="2"/>
        <v>1.5027317594137282</v>
      </c>
      <c r="AG7" s="47">
        <f t="shared" si="3"/>
        <v>1.5264570827379427</v>
      </c>
      <c r="AH7" s="47">
        <f t="shared" si="3"/>
        <v>1.5505569845345375</v>
      </c>
      <c r="AI7" s="47">
        <f t="shared" si="3"/>
        <v>1.5750373786968681</v>
      </c>
      <c r="AJ7" s="47">
        <f t="shared" si="3"/>
        <v>1.599904272487604</v>
      </c>
      <c r="AK7" s="47">
        <f t="shared" si="3"/>
        <v>1.6251637680128528</v>
      </c>
      <c r="AL7" s="47">
        <f t="shared" si="3"/>
        <v>1.6508220637195639</v>
      </c>
      <c r="AM7" s="47">
        <f t="shared" si="3"/>
        <v>1.6768854559165678</v>
      </c>
      <c r="AN7" s="47">
        <f t="shared" si="3"/>
        <v>1.7033603403196329</v>
      </c>
      <c r="AO7" s="47">
        <f t="shared" si="3"/>
        <v>1.7302532136209157</v>
      </c>
      <c r="AP7" s="47">
        <f t="shared" si="3"/>
        <v>1.7575706750831883</v>
      </c>
      <c r="AQ7" s="47">
        <f t="shared" si="4"/>
        <v>1.7853194281592362</v>
      </c>
      <c r="AR7" s="47">
        <f t="shared" si="4"/>
        <v>1.8135062821368249</v>
      </c>
      <c r="AS7" s="47">
        <f t="shared" si="4"/>
        <v>1.8421381538096351</v>
      </c>
      <c r="AT7" s="47">
        <f t="shared" si="4"/>
        <v>1.8712220691745811</v>
      </c>
      <c r="AU7" s="47">
        <f t="shared" si="4"/>
        <v>1.9007651651559245</v>
      </c>
      <c r="AV7" s="47">
        <f t="shared" si="4"/>
        <v>1.9307746913566095</v>
      </c>
      <c r="AW7" s="47">
        <f t="shared" si="4"/>
        <v>1.9612580118372507</v>
      </c>
      <c r="AX7" s="47">
        <f t="shared" si="4"/>
        <v>1.9922226069232016</v>
      </c>
      <c r="AY7" s="47">
        <f t="shared" si="4"/>
        <v>2.0236760750401612</v>
      </c>
      <c r="AZ7" s="47">
        <f t="shared" si="4"/>
        <v>2.0556261345787559</v>
      </c>
      <c r="BA7" s="47">
        <f t="shared" si="5"/>
        <v>2.0880806257885594</v>
      </c>
      <c r="BB7" s="47">
        <f t="shared" si="5"/>
        <v>2.1210475127020225</v>
      </c>
      <c r="BC7" s="47">
        <f t="shared" si="5"/>
        <v>2.1545348850887676</v>
      </c>
      <c r="BD7" s="47">
        <f t="shared" si="5"/>
        <v>2.1885509604407476</v>
      </c>
      <c r="BE7" s="47">
        <f t="shared" si="5"/>
        <v>2.2231040859887385</v>
      </c>
      <c r="BF7" s="47">
        <f t="shared" si="5"/>
        <v>2.2582027407506788</v>
      </c>
      <c r="BG7" s="47">
        <f t="shared" si="5"/>
        <v>2.2938555376123353</v>
      </c>
      <c r="BH7" s="47">
        <f t="shared" si="5"/>
        <v>2.3300712254408302</v>
      </c>
      <c r="BI7" s="47">
        <f t="shared" si="5"/>
        <v>2.3668586912315313</v>
      </c>
      <c r="BJ7" s="47">
        <f t="shared" si="5"/>
        <v>2.4042269622888375</v>
      </c>
      <c r="BK7" s="47">
        <f t="shared" si="6"/>
        <v>2.4421852084413986</v>
      </c>
      <c r="BL7" s="47">
        <f t="shared" si="6"/>
        <v>2.4807427442923018</v>
      </c>
      <c r="BM7" s="47">
        <f t="shared" si="6"/>
        <v>2.5199090315047954</v>
      </c>
      <c r="BN7" s="47">
        <f t="shared" si="6"/>
        <v>2.5596936811240889</v>
      </c>
      <c r="BO7" s="47">
        <f t="shared" si="6"/>
        <v>2.600106455935816</v>
      </c>
      <c r="BP7" s="47">
        <f t="shared" si="6"/>
        <v>2.6411572728617339</v>
      </c>
      <c r="BQ7" s="47">
        <f t="shared" si="6"/>
        <v>2.6828562053932403</v>
      </c>
      <c r="BR7" s="47">
        <f t="shared" si="6"/>
        <v>2.7252134860633199</v>
      </c>
      <c r="BS7" s="47">
        <f t="shared" si="6"/>
        <v>2.7682395089575103</v>
      </c>
      <c r="BT7" s="47">
        <f t="shared" si="6"/>
        <v>2.8119448322645151</v>
      </c>
      <c r="BU7" s="47">
        <f t="shared" si="6"/>
        <v>2.8563401808670879</v>
      </c>
      <c r="BV7" s="47">
        <f t="shared" si="6"/>
        <v>2.9014364489738163</v>
      </c>
      <c r="BW7" s="47">
        <f t="shared" si="6"/>
        <v>2.947244702792462</v>
      </c>
      <c r="BX7" s="47">
        <f t="shared" si="6"/>
        <v>2.9937761832455072</v>
      </c>
      <c r="BY7" s="47">
        <f t="shared" si="6"/>
        <v>3.0410423087285694</v>
      </c>
    </row>
    <row r="8" spans="1:77" x14ac:dyDescent="0.25">
      <c r="A8" s="118"/>
      <c r="B8" s="46">
        <v>1990</v>
      </c>
      <c r="C8" s="47">
        <f t="shared" si="0"/>
        <v>0.9392635454852637</v>
      </c>
      <c r="D8" s="47">
        <f t="shared" si="0"/>
        <v>0.95409275979027042</v>
      </c>
      <c r="E8" s="47">
        <f t="shared" si="0"/>
        <v>0.96915609964817517</v>
      </c>
      <c r="F8" s="47">
        <f t="shared" si="0"/>
        <v>0.98445726146348034</v>
      </c>
      <c r="G8" s="47">
        <f t="shared" si="0"/>
        <v>1</v>
      </c>
      <c r="H8" s="47">
        <f t="shared" si="0"/>
        <v>1.0157881293022453</v>
      </c>
      <c r="I8" s="47">
        <f t="shared" si="0"/>
        <v>1.0318255236313549</v>
      </c>
      <c r="J8" s="47">
        <f t="shared" si="0"/>
        <v>1.0481161184158037</v>
      </c>
      <c r="K8" s="47">
        <f t="shared" si="0"/>
        <v>1.0646639112171199</v>
      </c>
      <c r="L8" s="47">
        <f t="shared" si="0"/>
        <v>1.0814729627108499</v>
      </c>
      <c r="M8" s="47">
        <f t="shared" si="1"/>
        <v>1.0985473976830111</v>
      </c>
      <c r="N8" s="47">
        <f t="shared" si="1"/>
        <v>1.1158914060422755</v>
      </c>
      <c r="O8" s="47">
        <f t="shared" si="1"/>
        <v>1.1335092438481353</v>
      </c>
      <c r="P8" s="47">
        <f t="shared" si="1"/>
        <v>1.1514052343553001</v>
      </c>
      <c r="Q8" s="47">
        <f t="shared" si="1"/>
        <v>1.1695837690745834</v>
      </c>
      <c r="R8" s="47">
        <f t="shared" si="1"/>
        <v>1.1880493088505404</v>
      </c>
      <c r="S8" s="47">
        <f t="shared" si="1"/>
        <v>1.2068063849561159</v>
      </c>
      <c r="T8" s="47">
        <f t="shared" si="1"/>
        <v>1.2258596002045781</v>
      </c>
      <c r="U8" s="47">
        <f t="shared" si="1"/>
        <v>1.2452136300790069</v>
      </c>
      <c r="V8" s="47">
        <f t="shared" si="1"/>
        <v>1.2648732238796123</v>
      </c>
      <c r="W8" s="47">
        <f t="shared" si="2"/>
        <v>1.2848432058891714</v>
      </c>
      <c r="X8" s="47">
        <f t="shared" si="2"/>
        <v>1.3051284765568609</v>
      </c>
      <c r="Y8" s="47">
        <f t="shared" si="2"/>
        <v>1.3257340137007831</v>
      </c>
      <c r="Z8" s="47">
        <f t="shared" si="2"/>
        <v>1.3466648737294755</v>
      </c>
      <c r="AA8" s="47">
        <f t="shared" si="2"/>
        <v>1.3679261928827084</v>
      </c>
      <c r="AB8" s="47">
        <f t="shared" si="2"/>
        <v>1.3895231884918688</v>
      </c>
      <c r="AC8" s="47">
        <f t="shared" si="2"/>
        <v>1.4114611602602465</v>
      </c>
      <c r="AD8" s="47">
        <f t="shared" si="2"/>
        <v>1.4337454915635324</v>
      </c>
      <c r="AE8" s="47">
        <f t="shared" si="2"/>
        <v>1.4563816507708487</v>
      </c>
      <c r="AF8" s="47">
        <f t="shared" si="2"/>
        <v>1.4793751925866365</v>
      </c>
      <c r="AG8" s="47">
        <f t="shared" si="3"/>
        <v>1.5027317594137282</v>
      </c>
      <c r="AH8" s="47">
        <f t="shared" si="3"/>
        <v>1.5264570827379427</v>
      </c>
      <c r="AI8" s="47">
        <f t="shared" si="3"/>
        <v>1.5505569845345375</v>
      </c>
      <c r="AJ8" s="47">
        <f t="shared" si="3"/>
        <v>1.5750373786968681</v>
      </c>
      <c r="AK8" s="47">
        <f t="shared" si="3"/>
        <v>1.599904272487604</v>
      </c>
      <c r="AL8" s="47">
        <f t="shared" si="3"/>
        <v>1.6251637680128528</v>
      </c>
      <c r="AM8" s="47">
        <f t="shared" si="3"/>
        <v>1.6508220637195639</v>
      </c>
      <c r="AN8" s="47">
        <f t="shared" si="3"/>
        <v>1.6768854559165678</v>
      </c>
      <c r="AO8" s="47">
        <f t="shared" si="3"/>
        <v>1.7033603403196329</v>
      </c>
      <c r="AP8" s="47">
        <f t="shared" si="3"/>
        <v>1.7302532136209157</v>
      </c>
      <c r="AQ8" s="47">
        <f t="shared" si="4"/>
        <v>1.7575706750831883</v>
      </c>
      <c r="AR8" s="47">
        <f t="shared" si="4"/>
        <v>1.7853194281592362</v>
      </c>
      <c r="AS8" s="47">
        <f t="shared" si="4"/>
        <v>1.8135062821368249</v>
      </c>
      <c r="AT8" s="47">
        <f t="shared" si="4"/>
        <v>1.8421381538096351</v>
      </c>
      <c r="AU8" s="47">
        <f t="shared" si="4"/>
        <v>1.8712220691745811</v>
      </c>
      <c r="AV8" s="47">
        <f t="shared" si="4"/>
        <v>1.9007651651559245</v>
      </c>
      <c r="AW8" s="47">
        <f t="shared" si="4"/>
        <v>1.9307746913566095</v>
      </c>
      <c r="AX8" s="47">
        <f t="shared" si="4"/>
        <v>1.9612580118372507</v>
      </c>
      <c r="AY8" s="47">
        <f t="shared" si="4"/>
        <v>1.9922226069232016</v>
      </c>
      <c r="AZ8" s="47">
        <f t="shared" si="4"/>
        <v>2.0236760750401612</v>
      </c>
      <c r="BA8" s="47">
        <f t="shared" si="5"/>
        <v>2.0556261345787559</v>
      </c>
      <c r="BB8" s="47">
        <f t="shared" si="5"/>
        <v>2.0880806257885594</v>
      </c>
      <c r="BC8" s="47">
        <f t="shared" si="5"/>
        <v>2.1210475127020225</v>
      </c>
      <c r="BD8" s="47">
        <f t="shared" si="5"/>
        <v>2.1545348850887676</v>
      </c>
      <c r="BE8" s="47">
        <f t="shared" si="5"/>
        <v>2.1885509604407476</v>
      </c>
      <c r="BF8" s="47">
        <f t="shared" si="5"/>
        <v>2.2231040859887385</v>
      </c>
      <c r="BG8" s="47">
        <f t="shared" si="5"/>
        <v>2.2582027407506788</v>
      </c>
      <c r="BH8" s="47">
        <f t="shared" si="5"/>
        <v>2.2938555376123353</v>
      </c>
      <c r="BI8" s="47">
        <f t="shared" si="5"/>
        <v>2.3300712254408302</v>
      </c>
      <c r="BJ8" s="47">
        <f t="shared" si="5"/>
        <v>2.3668586912315313</v>
      </c>
      <c r="BK8" s="47">
        <f t="shared" si="6"/>
        <v>2.4042269622888375</v>
      </c>
      <c r="BL8" s="47">
        <f t="shared" si="6"/>
        <v>2.4421852084413986</v>
      </c>
      <c r="BM8" s="47">
        <f t="shared" si="6"/>
        <v>2.4807427442923018</v>
      </c>
      <c r="BN8" s="47">
        <f t="shared" si="6"/>
        <v>2.5199090315047954</v>
      </c>
      <c r="BO8" s="47">
        <f t="shared" si="6"/>
        <v>2.5596936811240889</v>
      </c>
      <c r="BP8" s="47">
        <f t="shared" si="6"/>
        <v>2.600106455935816</v>
      </c>
      <c r="BQ8" s="47">
        <f t="shared" si="6"/>
        <v>2.6411572728617339</v>
      </c>
      <c r="BR8" s="47">
        <f t="shared" si="6"/>
        <v>2.6828562053932403</v>
      </c>
      <c r="BS8" s="47">
        <f t="shared" si="6"/>
        <v>2.7252134860633199</v>
      </c>
      <c r="BT8" s="47">
        <f t="shared" si="6"/>
        <v>2.7682395089575103</v>
      </c>
      <c r="BU8" s="47">
        <f t="shared" si="6"/>
        <v>2.8119448322645151</v>
      </c>
      <c r="BV8" s="47">
        <f t="shared" si="6"/>
        <v>2.8563401808670879</v>
      </c>
      <c r="BW8" s="47">
        <f t="shared" si="6"/>
        <v>2.9014364489738163</v>
      </c>
      <c r="BX8" s="47">
        <f t="shared" si="6"/>
        <v>2.947244702792462</v>
      </c>
      <c r="BY8" s="47">
        <f t="shared" si="6"/>
        <v>2.9937761832455072</v>
      </c>
    </row>
    <row r="9" spans="1:77" x14ac:dyDescent="0.25">
      <c r="A9" s="118"/>
      <c r="B9" s="46">
        <v>1991</v>
      </c>
      <c r="C9" s="47">
        <f t="shared" si="0"/>
        <v>0.9246648177809017</v>
      </c>
      <c r="D9" s="47">
        <f t="shared" si="0"/>
        <v>0.9392635454852637</v>
      </c>
      <c r="E9" s="47">
        <f t="shared" si="0"/>
        <v>0.95409275979027042</v>
      </c>
      <c r="F9" s="47">
        <f t="shared" si="0"/>
        <v>0.96915609964817517</v>
      </c>
      <c r="G9" s="47">
        <f t="shared" si="0"/>
        <v>0.98445726146348034</v>
      </c>
      <c r="H9" s="47">
        <f t="shared" si="0"/>
        <v>1</v>
      </c>
      <c r="I9" s="47">
        <f t="shared" si="0"/>
        <v>1.0157881293022453</v>
      </c>
      <c r="J9" s="47">
        <f t="shared" si="0"/>
        <v>1.0318255236313549</v>
      </c>
      <c r="K9" s="47">
        <f t="shared" si="0"/>
        <v>1.0481161184158037</v>
      </c>
      <c r="L9" s="47">
        <f t="shared" si="0"/>
        <v>1.0646639112171199</v>
      </c>
      <c r="M9" s="47">
        <f t="shared" si="1"/>
        <v>1.0814729627108499</v>
      </c>
      <c r="N9" s="47">
        <f t="shared" si="1"/>
        <v>1.0985473976830111</v>
      </c>
      <c r="O9" s="47">
        <f t="shared" si="1"/>
        <v>1.1158914060422755</v>
      </c>
      <c r="P9" s="47">
        <f t="shared" si="1"/>
        <v>1.1335092438481353</v>
      </c>
      <c r="Q9" s="47">
        <f t="shared" si="1"/>
        <v>1.1514052343553001</v>
      </c>
      <c r="R9" s="47">
        <f t="shared" si="1"/>
        <v>1.1695837690745834</v>
      </c>
      <c r="S9" s="47">
        <f t="shared" si="1"/>
        <v>1.1880493088505404</v>
      </c>
      <c r="T9" s="47">
        <f t="shared" si="1"/>
        <v>1.2068063849561159</v>
      </c>
      <c r="U9" s="47">
        <f t="shared" si="1"/>
        <v>1.2258596002045781</v>
      </c>
      <c r="V9" s="47">
        <f t="shared" si="1"/>
        <v>1.2452136300790069</v>
      </c>
      <c r="W9" s="47">
        <f t="shared" si="2"/>
        <v>1.2648732238796123</v>
      </c>
      <c r="X9" s="47">
        <f t="shared" si="2"/>
        <v>1.2848432058891714</v>
      </c>
      <c r="Y9" s="47">
        <f t="shared" si="2"/>
        <v>1.3051284765568609</v>
      </c>
      <c r="Z9" s="47">
        <f t="shared" si="2"/>
        <v>1.3257340137007831</v>
      </c>
      <c r="AA9" s="47">
        <f t="shared" si="2"/>
        <v>1.3466648737294755</v>
      </c>
      <c r="AB9" s="47">
        <f t="shared" si="2"/>
        <v>1.3679261928827084</v>
      </c>
      <c r="AC9" s="47">
        <f t="shared" si="2"/>
        <v>1.3895231884918688</v>
      </c>
      <c r="AD9" s="47">
        <f t="shared" si="2"/>
        <v>1.4114611602602465</v>
      </c>
      <c r="AE9" s="47">
        <f t="shared" si="2"/>
        <v>1.4337454915635324</v>
      </c>
      <c r="AF9" s="47">
        <f t="shared" si="2"/>
        <v>1.4563816507708487</v>
      </c>
      <c r="AG9" s="47">
        <f t="shared" si="3"/>
        <v>1.4793751925866365</v>
      </c>
      <c r="AH9" s="47">
        <f t="shared" si="3"/>
        <v>1.5027317594137282</v>
      </c>
      <c r="AI9" s="47">
        <f t="shared" si="3"/>
        <v>1.5264570827379427</v>
      </c>
      <c r="AJ9" s="47">
        <f t="shared" si="3"/>
        <v>1.5505569845345375</v>
      </c>
      <c r="AK9" s="47">
        <f t="shared" si="3"/>
        <v>1.5750373786968681</v>
      </c>
      <c r="AL9" s="47">
        <f t="shared" si="3"/>
        <v>1.599904272487604</v>
      </c>
      <c r="AM9" s="47">
        <f t="shared" si="3"/>
        <v>1.6251637680128528</v>
      </c>
      <c r="AN9" s="47">
        <f t="shared" si="3"/>
        <v>1.6508220637195639</v>
      </c>
      <c r="AO9" s="47">
        <f t="shared" si="3"/>
        <v>1.6768854559165678</v>
      </c>
      <c r="AP9" s="47">
        <f t="shared" si="3"/>
        <v>1.7033603403196329</v>
      </c>
      <c r="AQ9" s="47">
        <f t="shared" si="4"/>
        <v>1.7302532136209157</v>
      </c>
      <c r="AR9" s="47">
        <f t="shared" si="4"/>
        <v>1.7575706750831883</v>
      </c>
      <c r="AS9" s="47">
        <f t="shared" si="4"/>
        <v>1.7853194281592362</v>
      </c>
      <c r="AT9" s="47">
        <f t="shared" si="4"/>
        <v>1.8135062821368249</v>
      </c>
      <c r="AU9" s="47">
        <f t="shared" si="4"/>
        <v>1.8421381538096351</v>
      </c>
      <c r="AV9" s="47">
        <f t="shared" si="4"/>
        <v>1.8712220691745811</v>
      </c>
      <c r="AW9" s="47">
        <f t="shared" si="4"/>
        <v>1.9007651651559245</v>
      </c>
      <c r="AX9" s="47">
        <f t="shared" si="4"/>
        <v>1.9307746913566095</v>
      </c>
      <c r="AY9" s="47">
        <f t="shared" si="4"/>
        <v>1.9612580118372507</v>
      </c>
      <c r="AZ9" s="47">
        <f t="shared" si="4"/>
        <v>1.9922226069232016</v>
      </c>
      <c r="BA9" s="47">
        <f t="shared" si="5"/>
        <v>2.0236760750401612</v>
      </c>
      <c r="BB9" s="47">
        <f t="shared" si="5"/>
        <v>2.0556261345787559</v>
      </c>
      <c r="BC9" s="47">
        <f t="shared" si="5"/>
        <v>2.0880806257885594</v>
      </c>
      <c r="BD9" s="47">
        <f t="shared" si="5"/>
        <v>2.1210475127020225</v>
      </c>
      <c r="BE9" s="47">
        <f t="shared" si="5"/>
        <v>2.1545348850887676</v>
      </c>
      <c r="BF9" s="47">
        <f t="shared" si="5"/>
        <v>2.1885509604407476</v>
      </c>
      <c r="BG9" s="47">
        <f t="shared" si="5"/>
        <v>2.2231040859887385</v>
      </c>
      <c r="BH9" s="47">
        <f t="shared" si="5"/>
        <v>2.2582027407506788</v>
      </c>
      <c r="BI9" s="47">
        <f t="shared" si="5"/>
        <v>2.2938555376123353</v>
      </c>
      <c r="BJ9" s="47">
        <f t="shared" si="5"/>
        <v>2.3300712254408302</v>
      </c>
      <c r="BK9" s="47">
        <f t="shared" si="6"/>
        <v>2.3668586912315313</v>
      </c>
      <c r="BL9" s="47">
        <f t="shared" si="6"/>
        <v>2.4042269622888375</v>
      </c>
      <c r="BM9" s="47">
        <f t="shared" si="6"/>
        <v>2.4421852084413986</v>
      </c>
      <c r="BN9" s="47">
        <f t="shared" si="6"/>
        <v>2.4807427442923018</v>
      </c>
      <c r="BO9" s="47">
        <f t="shared" si="6"/>
        <v>2.5199090315047954</v>
      </c>
      <c r="BP9" s="47">
        <f t="shared" si="6"/>
        <v>2.5596936811240889</v>
      </c>
      <c r="BQ9" s="47">
        <f t="shared" si="6"/>
        <v>2.600106455935816</v>
      </c>
      <c r="BR9" s="47">
        <f t="shared" si="6"/>
        <v>2.6411572728617339</v>
      </c>
      <c r="BS9" s="47">
        <f t="shared" si="6"/>
        <v>2.6828562053932403</v>
      </c>
      <c r="BT9" s="47">
        <f t="shared" si="6"/>
        <v>2.7252134860633199</v>
      </c>
      <c r="BU9" s="47">
        <f t="shared" si="6"/>
        <v>2.7682395089575103</v>
      </c>
      <c r="BV9" s="47">
        <f t="shared" si="6"/>
        <v>2.8119448322645151</v>
      </c>
      <c r="BW9" s="47">
        <f t="shared" si="6"/>
        <v>2.8563401808670879</v>
      </c>
      <c r="BX9" s="47">
        <f t="shared" si="6"/>
        <v>2.9014364489738163</v>
      </c>
      <c r="BY9" s="47">
        <f t="shared" si="6"/>
        <v>2.947244702792462</v>
      </c>
    </row>
    <row r="10" spans="1:77" x14ac:dyDescent="0.25">
      <c r="A10" s="118"/>
      <c r="B10" s="46">
        <v>1992</v>
      </c>
      <c r="C10" s="47">
        <f t="shared" si="0"/>
        <v>0.91029299428421451</v>
      </c>
      <c r="D10" s="47">
        <f t="shared" si="0"/>
        <v>0.9246648177809017</v>
      </c>
      <c r="E10" s="47">
        <f t="shared" si="0"/>
        <v>0.9392635454852637</v>
      </c>
      <c r="F10" s="47">
        <f t="shared" si="0"/>
        <v>0.95409275979027042</v>
      </c>
      <c r="G10" s="47">
        <f t="shared" si="0"/>
        <v>0.96915609964817517</v>
      </c>
      <c r="H10" s="47">
        <f t="shared" si="0"/>
        <v>0.98445726146348034</v>
      </c>
      <c r="I10" s="47">
        <f t="shared" si="0"/>
        <v>1</v>
      </c>
      <c r="J10" s="47">
        <f t="shared" si="0"/>
        <v>1.0157881293022453</v>
      </c>
      <c r="K10" s="47">
        <f t="shared" si="0"/>
        <v>1.0318255236313549</v>
      </c>
      <c r="L10" s="47">
        <f t="shared" si="0"/>
        <v>1.0481161184158037</v>
      </c>
      <c r="M10" s="47">
        <f t="shared" si="1"/>
        <v>1.0646639112171199</v>
      </c>
      <c r="N10" s="47">
        <f t="shared" si="1"/>
        <v>1.0814729627108499</v>
      </c>
      <c r="O10" s="47">
        <f t="shared" si="1"/>
        <v>1.0985473976830111</v>
      </c>
      <c r="P10" s="47">
        <f t="shared" si="1"/>
        <v>1.1158914060422755</v>
      </c>
      <c r="Q10" s="47">
        <f t="shared" si="1"/>
        <v>1.1335092438481353</v>
      </c>
      <c r="R10" s="47">
        <f t="shared" si="1"/>
        <v>1.1514052343553001</v>
      </c>
      <c r="S10" s="47">
        <f t="shared" si="1"/>
        <v>1.1695837690745834</v>
      </c>
      <c r="T10" s="47">
        <f t="shared" si="1"/>
        <v>1.1880493088505404</v>
      </c>
      <c r="U10" s="47">
        <f t="shared" si="1"/>
        <v>1.2068063849561159</v>
      </c>
      <c r="V10" s="47">
        <f t="shared" si="1"/>
        <v>1.2258596002045781</v>
      </c>
      <c r="W10" s="47">
        <f t="shared" si="2"/>
        <v>1.2452136300790069</v>
      </c>
      <c r="X10" s="47">
        <f t="shared" si="2"/>
        <v>1.2648732238796123</v>
      </c>
      <c r="Y10" s="47">
        <f t="shared" si="2"/>
        <v>1.2848432058891714</v>
      </c>
      <c r="Z10" s="47">
        <f t="shared" si="2"/>
        <v>1.3051284765568609</v>
      </c>
      <c r="AA10" s="47">
        <f t="shared" si="2"/>
        <v>1.3257340137007831</v>
      </c>
      <c r="AB10" s="47">
        <f t="shared" si="2"/>
        <v>1.3466648737294755</v>
      </c>
      <c r="AC10" s="47">
        <f t="shared" si="2"/>
        <v>1.3679261928827084</v>
      </c>
      <c r="AD10" s="47">
        <f t="shared" si="2"/>
        <v>1.3895231884918688</v>
      </c>
      <c r="AE10" s="47">
        <f t="shared" si="2"/>
        <v>1.4114611602602465</v>
      </c>
      <c r="AF10" s="47">
        <f t="shared" si="2"/>
        <v>1.4337454915635324</v>
      </c>
      <c r="AG10" s="47">
        <f t="shared" si="3"/>
        <v>1.4563816507708487</v>
      </c>
      <c r="AH10" s="47">
        <f t="shared" si="3"/>
        <v>1.4793751925866365</v>
      </c>
      <c r="AI10" s="47">
        <f t="shared" si="3"/>
        <v>1.5027317594137282</v>
      </c>
      <c r="AJ10" s="47">
        <f t="shared" si="3"/>
        <v>1.5264570827379427</v>
      </c>
      <c r="AK10" s="47">
        <f t="shared" si="3"/>
        <v>1.5505569845345375</v>
      </c>
      <c r="AL10" s="47">
        <f t="shared" si="3"/>
        <v>1.5750373786968681</v>
      </c>
      <c r="AM10" s="47">
        <f t="shared" si="3"/>
        <v>1.599904272487604</v>
      </c>
      <c r="AN10" s="47">
        <f t="shared" si="3"/>
        <v>1.6251637680128528</v>
      </c>
      <c r="AO10" s="47">
        <f t="shared" si="3"/>
        <v>1.6508220637195639</v>
      </c>
      <c r="AP10" s="47">
        <f t="shared" si="3"/>
        <v>1.6768854559165678</v>
      </c>
      <c r="AQ10" s="47">
        <f t="shared" si="4"/>
        <v>1.7033603403196329</v>
      </c>
      <c r="AR10" s="47">
        <f t="shared" si="4"/>
        <v>1.7302532136209157</v>
      </c>
      <c r="AS10" s="47">
        <f t="shared" si="4"/>
        <v>1.7575706750831883</v>
      </c>
      <c r="AT10" s="47">
        <f t="shared" si="4"/>
        <v>1.7853194281592362</v>
      </c>
      <c r="AU10" s="47">
        <f t="shared" si="4"/>
        <v>1.8135062821368249</v>
      </c>
      <c r="AV10" s="47">
        <f t="shared" si="4"/>
        <v>1.8421381538096351</v>
      </c>
      <c r="AW10" s="47">
        <f t="shared" si="4"/>
        <v>1.8712220691745811</v>
      </c>
      <c r="AX10" s="47">
        <f t="shared" si="4"/>
        <v>1.9007651651559245</v>
      </c>
      <c r="AY10" s="47">
        <f t="shared" si="4"/>
        <v>1.9307746913566095</v>
      </c>
      <c r="AZ10" s="47">
        <f t="shared" si="4"/>
        <v>1.9612580118372507</v>
      </c>
      <c r="BA10" s="47">
        <f t="shared" si="5"/>
        <v>1.9922226069232016</v>
      </c>
      <c r="BB10" s="47">
        <f t="shared" si="5"/>
        <v>2.0236760750401612</v>
      </c>
      <c r="BC10" s="47">
        <f t="shared" si="5"/>
        <v>2.0556261345787559</v>
      </c>
      <c r="BD10" s="47">
        <f t="shared" si="5"/>
        <v>2.0880806257885594</v>
      </c>
      <c r="BE10" s="47">
        <f t="shared" si="5"/>
        <v>2.1210475127020225</v>
      </c>
      <c r="BF10" s="47">
        <f t="shared" si="5"/>
        <v>2.1545348850887676</v>
      </c>
      <c r="BG10" s="47">
        <f t="shared" si="5"/>
        <v>2.1885509604407476</v>
      </c>
      <c r="BH10" s="47">
        <f t="shared" si="5"/>
        <v>2.2231040859887385</v>
      </c>
      <c r="BI10" s="47">
        <f t="shared" si="5"/>
        <v>2.2582027407506788</v>
      </c>
      <c r="BJ10" s="47">
        <f t="shared" si="5"/>
        <v>2.2938555376123353</v>
      </c>
      <c r="BK10" s="47">
        <f t="shared" si="6"/>
        <v>2.3300712254408302</v>
      </c>
      <c r="BL10" s="47">
        <f t="shared" si="6"/>
        <v>2.3668586912315313</v>
      </c>
      <c r="BM10" s="47">
        <f t="shared" si="6"/>
        <v>2.4042269622888375</v>
      </c>
      <c r="BN10" s="47">
        <f t="shared" si="6"/>
        <v>2.4421852084413986</v>
      </c>
      <c r="BO10" s="47">
        <f t="shared" si="6"/>
        <v>2.4807427442923018</v>
      </c>
      <c r="BP10" s="47">
        <f t="shared" si="6"/>
        <v>2.5199090315047954</v>
      </c>
      <c r="BQ10" s="47">
        <f t="shared" si="6"/>
        <v>2.5596936811240889</v>
      </c>
      <c r="BR10" s="47">
        <f t="shared" si="6"/>
        <v>2.600106455935816</v>
      </c>
      <c r="BS10" s="47">
        <f t="shared" si="6"/>
        <v>2.6411572728617339</v>
      </c>
      <c r="BT10" s="47">
        <f t="shared" si="6"/>
        <v>2.6828562053932403</v>
      </c>
      <c r="BU10" s="47">
        <f t="shared" si="6"/>
        <v>2.7252134860633199</v>
      </c>
      <c r="BV10" s="47">
        <f t="shared" si="6"/>
        <v>2.7682395089575103</v>
      </c>
      <c r="BW10" s="47">
        <f t="shared" si="6"/>
        <v>2.8119448322645151</v>
      </c>
      <c r="BX10" s="47">
        <f t="shared" si="6"/>
        <v>2.8563401808670879</v>
      </c>
      <c r="BY10" s="47">
        <f t="shared" si="6"/>
        <v>2.9014364489738163</v>
      </c>
    </row>
    <row r="11" spans="1:77" x14ac:dyDescent="0.25">
      <c r="A11" s="118"/>
      <c r="B11" s="46">
        <v>1993</v>
      </c>
      <c r="C11" s="47">
        <f t="shared" si="0"/>
        <v>0.8961445482824294</v>
      </c>
      <c r="D11" s="47">
        <f t="shared" si="0"/>
        <v>0.91029299428421451</v>
      </c>
      <c r="E11" s="47">
        <f t="shared" si="0"/>
        <v>0.9246648177809017</v>
      </c>
      <c r="F11" s="47">
        <f t="shared" si="0"/>
        <v>0.9392635454852637</v>
      </c>
      <c r="G11" s="47">
        <f t="shared" si="0"/>
        <v>0.95409275979027042</v>
      </c>
      <c r="H11" s="47">
        <f t="shared" si="0"/>
        <v>0.96915609964817517</v>
      </c>
      <c r="I11" s="47">
        <f t="shared" si="0"/>
        <v>0.98445726146348034</v>
      </c>
      <c r="J11" s="47">
        <f t="shared" si="0"/>
        <v>1</v>
      </c>
      <c r="K11" s="47">
        <f t="shared" si="0"/>
        <v>1.0157881293022453</v>
      </c>
      <c r="L11" s="47">
        <f t="shared" si="0"/>
        <v>1.0318255236313549</v>
      </c>
      <c r="M11" s="47">
        <f t="shared" si="1"/>
        <v>1.0481161184158037</v>
      </c>
      <c r="N11" s="47">
        <f t="shared" si="1"/>
        <v>1.0646639112171199</v>
      </c>
      <c r="O11" s="47">
        <f t="shared" si="1"/>
        <v>1.0814729627108499</v>
      </c>
      <c r="P11" s="47">
        <f t="shared" si="1"/>
        <v>1.0985473976830111</v>
      </c>
      <c r="Q11" s="47">
        <f t="shared" si="1"/>
        <v>1.1158914060422755</v>
      </c>
      <c r="R11" s="47">
        <f t="shared" si="1"/>
        <v>1.1335092438481353</v>
      </c>
      <c r="S11" s="47">
        <f t="shared" si="1"/>
        <v>1.1514052343553001</v>
      </c>
      <c r="T11" s="47">
        <f t="shared" si="1"/>
        <v>1.1695837690745834</v>
      </c>
      <c r="U11" s="47">
        <f t="shared" si="1"/>
        <v>1.1880493088505404</v>
      </c>
      <c r="V11" s="47">
        <f t="shared" si="1"/>
        <v>1.2068063849561159</v>
      </c>
      <c r="W11" s="47">
        <f t="shared" si="2"/>
        <v>1.2258596002045781</v>
      </c>
      <c r="X11" s="47">
        <f t="shared" si="2"/>
        <v>1.2452136300790069</v>
      </c>
      <c r="Y11" s="47">
        <f t="shared" si="2"/>
        <v>1.2648732238796123</v>
      </c>
      <c r="Z11" s="47">
        <f t="shared" si="2"/>
        <v>1.2848432058891714</v>
      </c>
      <c r="AA11" s="47">
        <f t="shared" si="2"/>
        <v>1.3051284765568609</v>
      </c>
      <c r="AB11" s="47">
        <f t="shared" si="2"/>
        <v>1.3257340137007831</v>
      </c>
      <c r="AC11" s="47">
        <f t="shared" si="2"/>
        <v>1.3466648737294755</v>
      </c>
      <c r="AD11" s="47">
        <f t="shared" si="2"/>
        <v>1.3679261928827084</v>
      </c>
      <c r="AE11" s="47">
        <f t="shared" si="2"/>
        <v>1.3895231884918688</v>
      </c>
      <c r="AF11" s="47">
        <f t="shared" si="2"/>
        <v>1.4114611602602465</v>
      </c>
      <c r="AG11" s="47">
        <f t="shared" si="3"/>
        <v>1.4337454915635324</v>
      </c>
      <c r="AH11" s="47">
        <f t="shared" si="3"/>
        <v>1.4563816507708487</v>
      </c>
      <c r="AI11" s="47">
        <f t="shared" si="3"/>
        <v>1.4793751925866365</v>
      </c>
      <c r="AJ11" s="47">
        <f t="shared" si="3"/>
        <v>1.5027317594137282</v>
      </c>
      <c r="AK11" s="47">
        <f t="shared" si="3"/>
        <v>1.5264570827379427</v>
      </c>
      <c r="AL11" s="47">
        <f t="shared" si="3"/>
        <v>1.5505569845345375</v>
      </c>
      <c r="AM11" s="47">
        <f t="shared" si="3"/>
        <v>1.5750373786968681</v>
      </c>
      <c r="AN11" s="47">
        <f t="shared" si="3"/>
        <v>1.599904272487604</v>
      </c>
      <c r="AO11" s="47">
        <f t="shared" si="3"/>
        <v>1.6251637680128528</v>
      </c>
      <c r="AP11" s="47">
        <f t="shared" si="3"/>
        <v>1.6508220637195639</v>
      </c>
      <c r="AQ11" s="47">
        <f t="shared" si="4"/>
        <v>1.6768854559165678</v>
      </c>
      <c r="AR11" s="47">
        <f t="shared" si="4"/>
        <v>1.7033603403196329</v>
      </c>
      <c r="AS11" s="47">
        <f t="shared" si="4"/>
        <v>1.7302532136209157</v>
      </c>
      <c r="AT11" s="47">
        <f t="shared" si="4"/>
        <v>1.7575706750831883</v>
      </c>
      <c r="AU11" s="47">
        <f t="shared" si="4"/>
        <v>1.7853194281592362</v>
      </c>
      <c r="AV11" s="47">
        <f t="shared" si="4"/>
        <v>1.8135062821368249</v>
      </c>
      <c r="AW11" s="47">
        <f t="shared" si="4"/>
        <v>1.8421381538096351</v>
      </c>
      <c r="AX11" s="47">
        <f t="shared" si="4"/>
        <v>1.8712220691745811</v>
      </c>
      <c r="AY11" s="47">
        <f t="shared" si="4"/>
        <v>1.9007651651559245</v>
      </c>
      <c r="AZ11" s="47">
        <f t="shared" si="4"/>
        <v>1.9307746913566095</v>
      </c>
      <c r="BA11" s="47">
        <f t="shared" si="5"/>
        <v>1.9612580118372507</v>
      </c>
      <c r="BB11" s="47">
        <f t="shared" si="5"/>
        <v>1.9922226069232016</v>
      </c>
      <c r="BC11" s="47">
        <f t="shared" si="5"/>
        <v>2.0236760750401612</v>
      </c>
      <c r="BD11" s="47">
        <f t="shared" si="5"/>
        <v>2.0556261345787559</v>
      </c>
      <c r="BE11" s="47">
        <f t="shared" si="5"/>
        <v>2.0880806257885594</v>
      </c>
      <c r="BF11" s="47">
        <f t="shared" si="5"/>
        <v>2.1210475127020225</v>
      </c>
      <c r="BG11" s="47">
        <f t="shared" si="5"/>
        <v>2.1545348850887676</v>
      </c>
      <c r="BH11" s="47">
        <f t="shared" si="5"/>
        <v>2.1885509604407476</v>
      </c>
      <c r="BI11" s="47">
        <f t="shared" si="5"/>
        <v>2.2231040859887385</v>
      </c>
      <c r="BJ11" s="47">
        <f t="shared" si="5"/>
        <v>2.2582027407506788</v>
      </c>
      <c r="BK11" s="47">
        <f t="shared" si="6"/>
        <v>2.2938555376123353</v>
      </c>
      <c r="BL11" s="47">
        <f t="shared" si="6"/>
        <v>2.3300712254408302</v>
      </c>
      <c r="BM11" s="47">
        <f t="shared" si="6"/>
        <v>2.3668586912315313</v>
      </c>
      <c r="BN11" s="47">
        <f t="shared" si="6"/>
        <v>2.4042269622888375</v>
      </c>
      <c r="BO11" s="47">
        <f t="shared" si="6"/>
        <v>2.4421852084413986</v>
      </c>
      <c r="BP11" s="47">
        <f t="shared" si="6"/>
        <v>2.4807427442923018</v>
      </c>
      <c r="BQ11" s="47">
        <f t="shared" si="6"/>
        <v>2.5199090315047954</v>
      </c>
      <c r="BR11" s="47">
        <f t="shared" si="6"/>
        <v>2.5596936811240889</v>
      </c>
      <c r="BS11" s="47">
        <f t="shared" si="6"/>
        <v>2.600106455935816</v>
      </c>
      <c r="BT11" s="47">
        <f t="shared" si="6"/>
        <v>2.6411572728617339</v>
      </c>
      <c r="BU11" s="47">
        <f t="shared" si="6"/>
        <v>2.6828562053932403</v>
      </c>
      <c r="BV11" s="47">
        <f t="shared" si="6"/>
        <v>2.7252134860633199</v>
      </c>
      <c r="BW11" s="47">
        <f t="shared" si="6"/>
        <v>2.7682395089575103</v>
      </c>
      <c r="BX11" s="47">
        <f t="shared" si="6"/>
        <v>2.8119448322645151</v>
      </c>
      <c r="BY11" s="47">
        <f t="shared" si="6"/>
        <v>2.8563401808670879</v>
      </c>
    </row>
    <row r="12" spans="1:77" x14ac:dyDescent="0.25">
      <c r="A12" s="118"/>
      <c r="B12" s="46">
        <v>1994</v>
      </c>
      <c r="C12" s="47">
        <f t="shared" si="0"/>
        <v>0.88221600787754795</v>
      </c>
      <c r="D12" s="47">
        <f t="shared" si="0"/>
        <v>0.8961445482824294</v>
      </c>
      <c r="E12" s="47">
        <f t="shared" si="0"/>
        <v>0.91029299428421451</v>
      </c>
      <c r="F12" s="47">
        <f t="shared" si="0"/>
        <v>0.9246648177809017</v>
      </c>
      <c r="G12" s="47">
        <f t="shared" si="0"/>
        <v>0.9392635454852637</v>
      </c>
      <c r="H12" s="47">
        <f t="shared" si="0"/>
        <v>0.95409275979027042</v>
      </c>
      <c r="I12" s="47">
        <f t="shared" si="0"/>
        <v>0.96915609964817517</v>
      </c>
      <c r="J12" s="47">
        <f t="shared" si="0"/>
        <v>0.98445726146348034</v>
      </c>
      <c r="K12" s="47">
        <f t="shared" si="0"/>
        <v>1</v>
      </c>
      <c r="L12" s="47">
        <f t="shared" si="0"/>
        <v>1.0157881293022453</v>
      </c>
      <c r="M12" s="47">
        <f t="shared" si="1"/>
        <v>1.0318255236313549</v>
      </c>
      <c r="N12" s="47">
        <f t="shared" si="1"/>
        <v>1.0481161184158037</v>
      </c>
      <c r="O12" s="47">
        <f t="shared" si="1"/>
        <v>1.0646639112171199</v>
      </c>
      <c r="P12" s="47">
        <f t="shared" si="1"/>
        <v>1.0814729627108499</v>
      </c>
      <c r="Q12" s="47">
        <f t="shared" si="1"/>
        <v>1.0985473976830111</v>
      </c>
      <c r="R12" s="47">
        <f t="shared" si="1"/>
        <v>1.1158914060422755</v>
      </c>
      <c r="S12" s="47">
        <f t="shared" si="1"/>
        <v>1.1335092438481353</v>
      </c>
      <c r="T12" s="47">
        <f t="shared" si="1"/>
        <v>1.1514052343553001</v>
      </c>
      <c r="U12" s="47">
        <f t="shared" si="1"/>
        <v>1.1695837690745834</v>
      </c>
      <c r="V12" s="47">
        <f t="shared" si="1"/>
        <v>1.1880493088505404</v>
      </c>
      <c r="W12" s="47">
        <f t="shared" si="2"/>
        <v>1.2068063849561159</v>
      </c>
      <c r="X12" s="47">
        <f t="shared" si="2"/>
        <v>1.2258596002045781</v>
      </c>
      <c r="Y12" s="47">
        <f t="shared" si="2"/>
        <v>1.2452136300790069</v>
      </c>
      <c r="Z12" s="47">
        <f t="shared" si="2"/>
        <v>1.2648732238796123</v>
      </c>
      <c r="AA12" s="47">
        <f t="shared" si="2"/>
        <v>1.2848432058891714</v>
      </c>
      <c r="AB12" s="47">
        <f t="shared" si="2"/>
        <v>1.3051284765568609</v>
      </c>
      <c r="AC12" s="47">
        <f t="shared" si="2"/>
        <v>1.3257340137007831</v>
      </c>
      <c r="AD12" s="47">
        <f t="shared" si="2"/>
        <v>1.3466648737294755</v>
      </c>
      <c r="AE12" s="47">
        <f t="shared" si="2"/>
        <v>1.3679261928827084</v>
      </c>
      <c r="AF12" s="47">
        <f t="shared" si="2"/>
        <v>1.3895231884918688</v>
      </c>
      <c r="AG12" s="47">
        <f t="shared" si="3"/>
        <v>1.4114611602602465</v>
      </c>
      <c r="AH12" s="47">
        <f t="shared" si="3"/>
        <v>1.4337454915635324</v>
      </c>
      <c r="AI12" s="47">
        <f t="shared" si="3"/>
        <v>1.4563816507708487</v>
      </c>
      <c r="AJ12" s="47">
        <f t="shared" si="3"/>
        <v>1.4793751925866365</v>
      </c>
      <c r="AK12" s="47">
        <f t="shared" si="3"/>
        <v>1.5027317594137282</v>
      </c>
      <c r="AL12" s="47">
        <f t="shared" si="3"/>
        <v>1.5264570827379427</v>
      </c>
      <c r="AM12" s="47">
        <f t="shared" si="3"/>
        <v>1.5505569845345375</v>
      </c>
      <c r="AN12" s="47">
        <f t="shared" si="3"/>
        <v>1.5750373786968681</v>
      </c>
      <c r="AO12" s="47">
        <f t="shared" si="3"/>
        <v>1.599904272487604</v>
      </c>
      <c r="AP12" s="47">
        <f t="shared" si="3"/>
        <v>1.6251637680128528</v>
      </c>
      <c r="AQ12" s="47">
        <f t="shared" si="4"/>
        <v>1.6508220637195639</v>
      </c>
      <c r="AR12" s="47">
        <f t="shared" si="4"/>
        <v>1.6768854559165678</v>
      </c>
      <c r="AS12" s="47">
        <f t="shared" si="4"/>
        <v>1.7033603403196329</v>
      </c>
      <c r="AT12" s="47">
        <f t="shared" si="4"/>
        <v>1.7302532136209157</v>
      </c>
      <c r="AU12" s="47">
        <f t="shared" si="4"/>
        <v>1.7575706750831883</v>
      </c>
      <c r="AV12" s="47">
        <f t="shared" si="4"/>
        <v>1.7853194281592362</v>
      </c>
      <c r="AW12" s="47">
        <f t="shared" si="4"/>
        <v>1.8135062821368249</v>
      </c>
      <c r="AX12" s="47">
        <f t="shared" si="4"/>
        <v>1.8421381538096351</v>
      </c>
      <c r="AY12" s="47">
        <f t="shared" si="4"/>
        <v>1.8712220691745811</v>
      </c>
      <c r="AZ12" s="47">
        <f t="shared" si="4"/>
        <v>1.9007651651559245</v>
      </c>
      <c r="BA12" s="47">
        <f t="shared" si="5"/>
        <v>1.9307746913566095</v>
      </c>
      <c r="BB12" s="47">
        <f t="shared" si="5"/>
        <v>1.9612580118372507</v>
      </c>
      <c r="BC12" s="47">
        <f t="shared" si="5"/>
        <v>1.9922226069232016</v>
      </c>
      <c r="BD12" s="47">
        <f t="shared" si="5"/>
        <v>2.0236760750401612</v>
      </c>
      <c r="BE12" s="47">
        <f t="shared" si="5"/>
        <v>2.0556261345787559</v>
      </c>
      <c r="BF12" s="47">
        <f t="shared" si="5"/>
        <v>2.0880806257885594</v>
      </c>
      <c r="BG12" s="47">
        <f t="shared" si="5"/>
        <v>2.1210475127020225</v>
      </c>
      <c r="BH12" s="47">
        <f t="shared" si="5"/>
        <v>2.1545348850887676</v>
      </c>
      <c r="BI12" s="47">
        <f t="shared" si="5"/>
        <v>2.1885509604407476</v>
      </c>
      <c r="BJ12" s="47">
        <f t="shared" si="5"/>
        <v>2.2231040859887385</v>
      </c>
      <c r="BK12" s="47">
        <f t="shared" si="6"/>
        <v>2.2582027407506788</v>
      </c>
      <c r="BL12" s="47">
        <f t="shared" si="6"/>
        <v>2.2938555376123353</v>
      </c>
      <c r="BM12" s="47">
        <f t="shared" si="6"/>
        <v>2.3300712254408302</v>
      </c>
      <c r="BN12" s="47">
        <f t="shared" si="6"/>
        <v>2.3668586912315313</v>
      </c>
      <c r="BO12" s="47">
        <f t="shared" si="6"/>
        <v>2.4042269622888375</v>
      </c>
      <c r="BP12" s="47">
        <f t="shared" si="6"/>
        <v>2.4421852084413986</v>
      </c>
      <c r="BQ12" s="47">
        <f t="shared" si="6"/>
        <v>2.4807427442923018</v>
      </c>
      <c r="BR12" s="47">
        <f t="shared" si="6"/>
        <v>2.5199090315047954</v>
      </c>
      <c r="BS12" s="47">
        <f t="shared" si="6"/>
        <v>2.5596936811240889</v>
      </c>
      <c r="BT12" s="47">
        <f t="shared" si="6"/>
        <v>2.600106455935816</v>
      </c>
      <c r="BU12" s="47">
        <f t="shared" si="6"/>
        <v>2.6411572728617339</v>
      </c>
      <c r="BV12" s="47">
        <f t="shared" si="6"/>
        <v>2.6828562053932403</v>
      </c>
      <c r="BW12" s="47">
        <f t="shared" si="6"/>
        <v>2.7252134860633199</v>
      </c>
      <c r="BX12" s="47">
        <f t="shared" si="6"/>
        <v>2.7682395089575103</v>
      </c>
      <c r="BY12" s="47">
        <f t="shared" si="6"/>
        <v>2.8119448322645151</v>
      </c>
    </row>
    <row r="13" spans="1:77" x14ac:dyDescent="0.25">
      <c r="A13" s="118"/>
      <c r="B13" s="46">
        <v>1995</v>
      </c>
      <c r="C13" s="47">
        <f t="shared" si="0"/>
        <v>0.86850395513437495</v>
      </c>
      <c r="D13" s="47">
        <f t="shared" si="0"/>
        <v>0.88221600787754795</v>
      </c>
      <c r="E13" s="47">
        <f t="shared" si="0"/>
        <v>0.8961445482824294</v>
      </c>
      <c r="F13" s="47">
        <f t="shared" si="0"/>
        <v>0.91029299428421451</v>
      </c>
      <c r="G13" s="47">
        <f t="shared" si="0"/>
        <v>0.9246648177809017</v>
      </c>
      <c r="H13" s="47">
        <f t="shared" si="0"/>
        <v>0.9392635454852637</v>
      </c>
      <c r="I13" s="47">
        <f t="shared" si="0"/>
        <v>0.95409275979027042</v>
      </c>
      <c r="J13" s="47">
        <f t="shared" si="0"/>
        <v>0.96915609964817517</v>
      </c>
      <c r="K13" s="47">
        <f t="shared" si="0"/>
        <v>0.98445726146348034</v>
      </c>
      <c r="L13" s="47">
        <f t="shared" si="0"/>
        <v>1</v>
      </c>
      <c r="M13" s="47">
        <f t="shared" si="1"/>
        <v>1.0157881293022453</v>
      </c>
      <c r="N13" s="47">
        <f t="shared" si="1"/>
        <v>1.0318255236313549</v>
      </c>
      <c r="O13" s="47">
        <f t="shared" si="1"/>
        <v>1.0481161184158037</v>
      </c>
      <c r="P13" s="47">
        <f t="shared" si="1"/>
        <v>1.0646639112171199</v>
      </c>
      <c r="Q13" s="47">
        <f t="shared" si="1"/>
        <v>1.0814729627108499</v>
      </c>
      <c r="R13" s="47">
        <f t="shared" si="1"/>
        <v>1.0985473976830111</v>
      </c>
      <c r="S13" s="47">
        <f t="shared" si="1"/>
        <v>1.1158914060422755</v>
      </c>
      <c r="T13" s="47">
        <f t="shared" si="1"/>
        <v>1.1335092438481353</v>
      </c>
      <c r="U13" s="47">
        <f t="shared" si="1"/>
        <v>1.1514052343553001</v>
      </c>
      <c r="V13" s="47">
        <f t="shared" si="1"/>
        <v>1.1695837690745834</v>
      </c>
      <c r="W13" s="47">
        <f t="shared" si="2"/>
        <v>1.1880493088505404</v>
      </c>
      <c r="X13" s="47">
        <f t="shared" si="2"/>
        <v>1.2068063849561159</v>
      </c>
      <c r="Y13" s="47">
        <f t="shared" si="2"/>
        <v>1.2258596002045781</v>
      </c>
      <c r="Z13" s="47">
        <f t="shared" si="2"/>
        <v>1.2452136300790069</v>
      </c>
      <c r="AA13" s="47">
        <f t="shared" si="2"/>
        <v>1.2648732238796123</v>
      </c>
      <c r="AB13" s="47">
        <f t="shared" si="2"/>
        <v>1.2848432058891714</v>
      </c>
      <c r="AC13" s="47">
        <f t="shared" si="2"/>
        <v>1.3051284765568609</v>
      </c>
      <c r="AD13" s="47">
        <f t="shared" si="2"/>
        <v>1.3257340137007831</v>
      </c>
      <c r="AE13" s="47">
        <f t="shared" si="2"/>
        <v>1.3466648737294755</v>
      </c>
      <c r="AF13" s="47">
        <f t="shared" si="2"/>
        <v>1.3679261928827084</v>
      </c>
      <c r="AG13" s="47">
        <f t="shared" si="3"/>
        <v>1.3895231884918688</v>
      </c>
      <c r="AH13" s="47">
        <f t="shared" si="3"/>
        <v>1.4114611602602465</v>
      </c>
      <c r="AI13" s="47">
        <f t="shared" si="3"/>
        <v>1.4337454915635324</v>
      </c>
      <c r="AJ13" s="47">
        <f t="shared" si="3"/>
        <v>1.4563816507708487</v>
      </c>
      <c r="AK13" s="47">
        <f t="shared" si="3"/>
        <v>1.4793751925866365</v>
      </c>
      <c r="AL13" s="47">
        <f t="shared" si="3"/>
        <v>1.5027317594137282</v>
      </c>
      <c r="AM13" s="47">
        <f t="shared" si="3"/>
        <v>1.5264570827379427</v>
      </c>
      <c r="AN13" s="47">
        <f t="shared" si="3"/>
        <v>1.5505569845345375</v>
      </c>
      <c r="AO13" s="47">
        <f t="shared" si="3"/>
        <v>1.5750373786968681</v>
      </c>
      <c r="AP13" s="47">
        <f t="shared" si="3"/>
        <v>1.599904272487604</v>
      </c>
      <c r="AQ13" s="47">
        <f t="shared" si="4"/>
        <v>1.6251637680128528</v>
      </c>
      <c r="AR13" s="47">
        <f t="shared" si="4"/>
        <v>1.6508220637195639</v>
      </c>
      <c r="AS13" s="47">
        <f t="shared" si="4"/>
        <v>1.6768854559165678</v>
      </c>
      <c r="AT13" s="47">
        <f t="shared" si="4"/>
        <v>1.7033603403196329</v>
      </c>
      <c r="AU13" s="47">
        <f t="shared" si="4"/>
        <v>1.7302532136209157</v>
      </c>
      <c r="AV13" s="47">
        <f t="shared" si="4"/>
        <v>1.7575706750831883</v>
      </c>
      <c r="AW13" s="47">
        <f t="shared" si="4"/>
        <v>1.7853194281592362</v>
      </c>
      <c r="AX13" s="47">
        <f t="shared" si="4"/>
        <v>1.8135062821368249</v>
      </c>
      <c r="AY13" s="47">
        <f t="shared" si="4"/>
        <v>1.8421381538096351</v>
      </c>
      <c r="AZ13" s="47">
        <f t="shared" si="4"/>
        <v>1.8712220691745811</v>
      </c>
      <c r="BA13" s="47">
        <f t="shared" si="5"/>
        <v>1.9007651651559245</v>
      </c>
      <c r="BB13" s="47">
        <f t="shared" si="5"/>
        <v>1.9307746913566095</v>
      </c>
      <c r="BC13" s="47">
        <f t="shared" si="5"/>
        <v>1.9612580118372507</v>
      </c>
      <c r="BD13" s="47">
        <f t="shared" si="5"/>
        <v>1.9922226069232016</v>
      </c>
      <c r="BE13" s="47">
        <f t="shared" si="5"/>
        <v>2.0236760750401612</v>
      </c>
      <c r="BF13" s="47">
        <f t="shared" si="5"/>
        <v>2.0556261345787559</v>
      </c>
      <c r="BG13" s="47">
        <f t="shared" si="5"/>
        <v>2.0880806257885594</v>
      </c>
      <c r="BH13" s="47">
        <f t="shared" si="5"/>
        <v>2.1210475127020225</v>
      </c>
      <c r="BI13" s="47">
        <f t="shared" si="5"/>
        <v>2.1545348850887676</v>
      </c>
      <c r="BJ13" s="47">
        <f t="shared" si="5"/>
        <v>2.1885509604407476</v>
      </c>
      <c r="BK13" s="47">
        <f t="shared" si="6"/>
        <v>2.2231040859887385</v>
      </c>
      <c r="BL13" s="47">
        <f t="shared" si="6"/>
        <v>2.2582027407506788</v>
      </c>
      <c r="BM13" s="47">
        <f t="shared" si="6"/>
        <v>2.2938555376123353</v>
      </c>
      <c r="BN13" s="47">
        <f t="shared" si="6"/>
        <v>2.3300712254408302</v>
      </c>
      <c r="BO13" s="47">
        <f t="shared" si="6"/>
        <v>2.3668586912315313</v>
      </c>
      <c r="BP13" s="47">
        <f t="shared" si="6"/>
        <v>2.4042269622888375</v>
      </c>
      <c r="BQ13" s="47">
        <f t="shared" si="6"/>
        <v>2.4421852084413986</v>
      </c>
      <c r="BR13" s="47">
        <f t="shared" si="6"/>
        <v>2.4807427442923018</v>
      </c>
      <c r="BS13" s="47">
        <f t="shared" si="6"/>
        <v>2.5199090315047954</v>
      </c>
      <c r="BT13" s="47">
        <f t="shared" si="6"/>
        <v>2.5596936811240889</v>
      </c>
      <c r="BU13" s="47">
        <f t="shared" si="6"/>
        <v>2.600106455935816</v>
      </c>
      <c r="BV13" s="47">
        <f t="shared" si="6"/>
        <v>2.6411572728617339</v>
      </c>
      <c r="BW13" s="47">
        <f t="shared" si="6"/>
        <v>2.6828562053932403</v>
      </c>
      <c r="BX13" s="47">
        <f t="shared" si="6"/>
        <v>2.7252134860633199</v>
      </c>
      <c r="BY13" s="47">
        <f t="shared" si="6"/>
        <v>2.7682395089575103</v>
      </c>
    </row>
    <row r="14" spans="1:77" x14ac:dyDescent="0.25">
      <c r="A14" s="118"/>
      <c r="B14" s="46">
        <v>1996</v>
      </c>
      <c r="C14" s="47">
        <f t="shared" ref="C14:L23" si="7">(1+$F$1)^(C$3-$B14)</f>
        <v>0.85500502524178823</v>
      </c>
      <c r="D14" s="47">
        <f t="shared" si="7"/>
        <v>0.86850395513437495</v>
      </c>
      <c r="E14" s="47">
        <f t="shared" si="7"/>
        <v>0.88221600787754795</v>
      </c>
      <c r="F14" s="47">
        <f t="shared" si="7"/>
        <v>0.8961445482824294</v>
      </c>
      <c r="G14" s="47">
        <f t="shared" si="7"/>
        <v>0.91029299428421451</v>
      </c>
      <c r="H14" s="47">
        <f t="shared" si="7"/>
        <v>0.9246648177809017</v>
      </c>
      <c r="I14" s="47">
        <f t="shared" si="7"/>
        <v>0.9392635454852637</v>
      </c>
      <c r="J14" s="47">
        <f t="shared" si="7"/>
        <v>0.95409275979027042</v>
      </c>
      <c r="K14" s="47">
        <f t="shared" si="7"/>
        <v>0.96915609964817517</v>
      </c>
      <c r="L14" s="47">
        <f t="shared" si="7"/>
        <v>0.98445726146348034</v>
      </c>
      <c r="M14" s="47">
        <f t="shared" ref="M14:V23" si="8">(1+$F$1)^(M$3-$B14)</f>
        <v>1</v>
      </c>
      <c r="N14" s="47">
        <f t="shared" si="8"/>
        <v>1.0157881293022453</v>
      </c>
      <c r="O14" s="47">
        <f t="shared" si="8"/>
        <v>1.0318255236313549</v>
      </c>
      <c r="P14" s="47">
        <f t="shared" si="8"/>
        <v>1.0481161184158037</v>
      </c>
      <c r="Q14" s="47">
        <f t="shared" si="8"/>
        <v>1.0646639112171199</v>
      </c>
      <c r="R14" s="47">
        <f t="shared" si="8"/>
        <v>1.0814729627108499</v>
      </c>
      <c r="S14" s="47">
        <f t="shared" si="8"/>
        <v>1.0985473976830111</v>
      </c>
      <c r="T14" s="47">
        <f t="shared" si="8"/>
        <v>1.1158914060422755</v>
      </c>
      <c r="U14" s="47">
        <f t="shared" si="8"/>
        <v>1.1335092438481353</v>
      </c>
      <c r="V14" s="47">
        <f t="shared" si="8"/>
        <v>1.1514052343553001</v>
      </c>
      <c r="W14" s="47">
        <f t="shared" ref="W14:AF23" si="9">(1+$F$1)^(W$3-$B14)</f>
        <v>1.1695837690745834</v>
      </c>
      <c r="X14" s="47">
        <f t="shared" si="9"/>
        <v>1.1880493088505404</v>
      </c>
      <c r="Y14" s="47">
        <f t="shared" si="9"/>
        <v>1.2068063849561159</v>
      </c>
      <c r="Z14" s="47">
        <f t="shared" si="9"/>
        <v>1.2258596002045781</v>
      </c>
      <c r="AA14" s="47">
        <f t="shared" si="9"/>
        <v>1.2452136300790069</v>
      </c>
      <c r="AB14" s="47">
        <f t="shared" si="9"/>
        <v>1.2648732238796123</v>
      </c>
      <c r="AC14" s="47">
        <f t="shared" si="9"/>
        <v>1.2848432058891714</v>
      </c>
      <c r="AD14" s="47">
        <f t="shared" si="9"/>
        <v>1.3051284765568609</v>
      </c>
      <c r="AE14" s="47">
        <f t="shared" si="9"/>
        <v>1.3257340137007831</v>
      </c>
      <c r="AF14" s="47">
        <f t="shared" si="9"/>
        <v>1.3466648737294755</v>
      </c>
      <c r="AG14" s="47">
        <f t="shared" ref="AG14:AP23" si="10">(1+$F$1)^(AG$3-$B14)</f>
        <v>1.3679261928827084</v>
      </c>
      <c r="AH14" s="47">
        <f t="shared" si="10"/>
        <v>1.3895231884918688</v>
      </c>
      <c r="AI14" s="47">
        <f t="shared" si="10"/>
        <v>1.4114611602602465</v>
      </c>
      <c r="AJ14" s="47">
        <f t="shared" si="10"/>
        <v>1.4337454915635324</v>
      </c>
      <c r="AK14" s="47">
        <f t="shared" si="10"/>
        <v>1.4563816507708487</v>
      </c>
      <c r="AL14" s="47">
        <f t="shared" si="10"/>
        <v>1.4793751925866365</v>
      </c>
      <c r="AM14" s="47">
        <f t="shared" si="10"/>
        <v>1.5027317594137282</v>
      </c>
      <c r="AN14" s="47">
        <f t="shared" si="10"/>
        <v>1.5264570827379427</v>
      </c>
      <c r="AO14" s="47">
        <f t="shared" si="10"/>
        <v>1.5505569845345375</v>
      </c>
      <c r="AP14" s="47">
        <f t="shared" si="10"/>
        <v>1.5750373786968681</v>
      </c>
      <c r="AQ14" s="47">
        <f t="shared" ref="AQ14:AZ23" si="11">(1+$F$1)^(AQ$3-$B14)</f>
        <v>1.599904272487604</v>
      </c>
      <c r="AR14" s="47">
        <f t="shared" si="11"/>
        <v>1.6251637680128528</v>
      </c>
      <c r="AS14" s="47">
        <f t="shared" si="11"/>
        <v>1.6508220637195639</v>
      </c>
      <c r="AT14" s="47">
        <f t="shared" si="11"/>
        <v>1.6768854559165678</v>
      </c>
      <c r="AU14" s="47">
        <f t="shared" si="11"/>
        <v>1.7033603403196329</v>
      </c>
      <c r="AV14" s="47">
        <f t="shared" si="11"/>
        <v>1.7302532136209157</v>
      </c>
      <c r="AW14" s="47">
        <f t="shared" si="11"/>
        <v>1.7575706750831883</v>
      </c>
      <c r="AX14" s="47">
        <f t="shared" si="11"/>
        <v>1.7853194281592362</v>
      </c>
      <c r="AY14" s="47">
        <f t="shared" si="11"/>
        <v>1.8135062821368249</v>
      </c>
      <c r="AZ14" s="47">
        <f t="shared" si="11"/>
        <v>1.8421381538096351</v>
      </c>
      <c r="BA14" s="47">
        <f t="shared" ref="BA14:BJ23" si="12">(1+$F$1)^(BA$3-$B14)</f>
        <v>1.8712220691745811</v>
      </c>
      <c r="BB14" s="47">
        <f t="shared" si="12"/>
        <v>1.9007651651559245</v>
      </c>
      <c r="BC14" s="47">
        <f t="shared" si="12"/>
        <v>1.9307746913566095</v>
      </c>
      <c r="BD14" s="47">
        <f t="shared" si="12"/>
        <v>1.9612580118372507</v>
      </c>
      <c r="BE14" s="47">
        <f t="shared" si="12"/>
        <v>1.9922226069232016</v>
      </c>
      <c r="BF14" s="47">
        <f t="shared" si="12"/>
        <v>2.0236760750401612</v>
      </c>
      <c r="BG14" s="47">
        <f t="shared" si="12"/>
        <v>2.0556261345787559</v>
      </c>
      <c r="BH14" s="47">
        <f t="shared" si="12"/>
        <v>2.0880806257885594</v>
      </c>
      <c r="BI14" s="47">
        <f t="shared" si="12"/>
        <v>2.1210475127020225</v>
      </c>
      <c r="BJ14" s="47">
        <f t="shared" si="12"/>
        <v>2.1545348850887676</v>
      </c>
      <c r="BK14" s="47">
        <f t="shared" ref="BK14:BY23" si="13">(1+$F$1)^(BK$3-$B14)</f>
        <v>2.1885509604407476</v>
      </c>
      <c r="BL14" s="47">
        <f t="shared" si="13"/>
        <v>2.2231040859887385</v>
      </c>
      <c r="BM14" s="47">
        <f t="shared" si="13"/>
        <v>2.2582027407506788</v>
      </c>
      <c r="BN14" s="47">
        <f t="shared" si="13"/>
        <v>2.2938555376123353</v>
      </c>
      <c r="BO14" s="47">
        <f t="shared" si="13"/>
        <v>2.3300712254408302</v>
      </c>
      <c r="BP14" s="47">
        <f t="shared" si="13"/>
        <v>2.3668586912315313</v>
      </c>
      <c r="BQ14" s="47">
        <f t="shared" si="13"/>
        <v>2.4042269622888375</v>
      </c>
      <c r="BR14" s="47">
        <f t="shared" si="13"/>
        <v>2.4421852084413986</v>
      </c>
      <c r="BS14" s="47">
        <f t="shared" si="13"/>
        <v>2.4807427442923018</v>
      </c>
      <c r="BT14" s="47">
        <f t="shared" si="13"/>
        <v>2.5199090315047954</v>
      </c>
      <c r="BU14" s="47">
        <f t="shared" si="13"/>
        <v>2.5596936811240889</v>
      </c>
      <c r="BV14" s="47">
        <f t="shared" si="13"/>
        <v>2.600106455935816</v>
      </c>
      <c r="BW14" s="47">
        <f t="shared" si="13"/>
        <v>2.6411572728617339</v>
      </c>
      <c r="BX14" s="47">
        <f t="shared" si="13"/>
        <v>2.6828562053932403</v>
      </c>
      <c r="BY14" s="47">
        <f t="shared" si="13"/>
        <v>2.7252134860633199</v>
      </c>
    </row>
    <row r="15" spans="1:77" x14ac:dyDescent="0.25">
      <c r="A15" s="118"/>
      <c r="B15" s="46">
        <v>1997</v>
      </c>
      <c r="C15" s="47">
        <f t="shared" si="7"/>
        <v>0.84171590568704457</v>
      </c>
      <c r="D15" s="47">
        <f t="shared" si="7"/>
        <v>0.85500502524178823</v>
      </c>
      <c r="E15" s="47">
        <f t="shared" si="7"/>
        <v>0.86850395513437495</v>
      </c>
      <c r="F15" s="47">
        <f t="shared" si="7"/>
        <v>0.88221600787754795</v>
      </c>
      <c r="G15" s="47">
        <f t="shared" si="7"/>
        <v>0.8961445482824294</v>
      </c>
      <c r="H15" s="47">
        <f t="shared" si="7"/>
        <v>0.91029299428421451</v>
      </c>
      <c r="I15" s="47">
        <f t="shared" si="7"/>
        <v>0.9246648177809017</v>
      </c>
      <c r="J15" s="47">
        <f t="shared" si="7"/>
        <v>0.9392635454852637</v>
      </c>
      <c r="K15" s="47">
        <f t="shared" si="7"/>
        <v>0.95409275979027042</v>
      </c>
      <c r="L15" s="47">
        <f t="shared" si="7"/>
        <v>0.96915609964817517</v>
      </c>
      <c r="M15" s="47">
        <f t="shared" si="8"/>
        <v>0.98445726146348034</v>
      </c>
      <c r="N15" s="47">
        <f t="shared" si="8"/>
        <v>1</v>
      </c>
      <c r="O15" s="47">
        <f t="shared" si="8"/>
        <v>1.0157881293022453</v>
      </c>
      <c r="P15" s="47">
        <f t="shared" si="8"/>
        <v>1.0318255236313549</v>
      </c>
      <c r="Q15" s="47">
        <f t="shared" si="8"/>
        <v>1.0481161184158037</v>
      </c>
      <c r="R15" s="47">
        <f t="shared" si="8"/>
        <v>1.0646639112171199</v>
      </c>
      <c r="S15" s="47">
        <f t="shared" si="8"/>
        <v>1.0814729627108499</v>
      </c>
      <c r="T15" s="47">
        <f t="shared" si="8"/>
        <v>1.0985473976830111</v>
      </c>
      <c r="U15" s="47">
        <f t="shared" si="8"/>
        <v>1.1158914060422755</v>
      </c>
      <c r="V15" s="47">
        <f t="shared" si="8"/>
        <v>1.1335092438481353</v>
      </c>
      <c r="W15" s="47">
        <f t="shared" si="9"/>
        <v>1.1514052343553001</v>
      </c>
      <c r="X15" s="47">
        <f t="shared" si="9"/>
        <v>1.1695837690745834</v>
      </c>
      <c r="Y15" s="47">
        <f t="shared" si="9"/>
        <v>1.1880493088505404</v>
      </c>
      <c r="Z15" s="47">
        <f t="shared" si="9"/>
        <v>1.2068063849561159</v>
      </c>
      <c r="AA15" s="47">
        <f t="shared" si="9"/>
        <v>1.2258596002045781</v>
      </c>
      <c r="AB15" s="47">
        <f t="shared" si="9"/>
        <v>1.2452136300790069</v>
      </c>
      <c r="AC15" s="47">
        <f t="shared" si="9"/>
        <v>1.2648732238796123</v>
      </c>
      <c r="AD15" s="47">
        <f t="shared" si="9"/>
        <v>1.2848432058891714</v>
      </c>
      <c r="AE15" s="47">
        <f t="shared" si="9"/>
        <v>1.3051284765568609</v>
      </c>
      <c r="AF15" s="47">
        <f t="shared" si="9"/>
        <v>1.3257340137007831</v>
      </c>
      <c r="AG15" s="47">
        <f t="shared" si="10"/>
        <v>1.3466648737294755</v>
      </c>
      <c r="AH15" s="47">
        <f t="shared" si="10"/>
        <v>1.3679261928827084</v>
      </c>
      <c r="AI15" s="47">
        <f t="shared" si="10"/>
        <v>1.3895231884918688</v>
      </c>
      <c r="AJ15" s="47">
        <f t="shared" si="10"/>
        <v>1.4114611602602465</v>
      </c>
      <c r="AK15" s="47">
        <f t="shared" si="10"/>
        <v>1.4337454915635324</v>
      </c>
      <c r="AL15" s="47">
        <f t="shared" si="10"/>
        <v>1.4563816507708487</v>
      </c>
      <c r="AM15" s="47">
        <f t="shared" si="10"/>
        <v>1.4793751925866365</v>
      </c>
      <c r="AN15" s="47">
        <f t="shared" si="10"/>
        <v>1.5027317594137282</v>
      </c>
      <c r="AO15" s="47">
        <f t="shared" si="10"/>
        <v>1.5264570827379427</v>
      </c>
      <c r="AP15" s="47">
        <f t="shared" si="10"/>
        <v>1.5505569845345375</v>
      </c>
      <c r="AQ15" s="47">
        <f t="shared" si="11"/>
        <v>1.5750373786968681</v>
      </c>
      <c r="AR15" s="47">
        <f t="shared" si="11"/>
        <v>1.599904272487604</v>
      </c>
      <c r="AS15" s="47">
        <f t="shared" si="11"/>
        <v>1.6251637680128528</v>
      </c>
      <c r="AT15" s="47">
        <f t="shared" si="11"/>
        <v>1.6508220637195639</v>
      </c>
      <c r="AU15" s="47">
        <f t="shared" si="11"/>
        <v>1.6768854559165678</v>
      </c>
      <c r="AV15" s="47">
        <f t="shared" si="11"/>
        <v>1.7033603403196329</v>
      </c>
      <c r="AW15" s="47">
        <f t="shared" si="11"/>
        <v>1.7302532136209157</v>
      </c>
      <c r="AX15" s="47">
        <f t="shared" si="11"/>
        <v>1.7575706750831883</v>
      </c>
      <c r="AY15" s="47">
        <f t="shared" si="11"/>
        <v>1.7853194281592362</v>
      </c>
      <c r="AZ15" s="47">
        <f t="shared" si="11"/>
        <v>1.8135062821368249</v>
      </c>
      <c r="BA15" s="47">
        <f t="shared" si="12"/>
        <v>1.8421381538096351</v>
      </c>
      <c r="BB15" s="47">
        <f t="shared" si="12"/>
        <v>1.8712220691745811</v>
      </c>
      <c r="BC15" s="47">
        <f t="shared" si="12"/>
        <v>1.9007651651559245</v>
      </c>
      <c r="BD15" s="47">
        <f t="shared" si="12"/>
        <v>1.9307746913566095</v>
      </c>
      <c r="BE15" s="47">
        <f t="shared" si="12"/>
        <v>1.9612580118372507</v>
      </c>
      <c r="BF15" s="47">
        <f t="shared" si="12"/>
        <v>1.9922226069232016</v>
      </c>
      <c r="BG15" s="47">
        <f t="shared" si="12"/>
        <v>2.0236760750401612</v>
      </c>
      <c r="BH15" s="47">
        <f t="shared" si="12"/>
        <v>2.0556261345787559</v>
      </c>
      <c r="BI15" s="47">
        <f t="shared" si="12"/>
        <v>2.0880806257885594</v>
      </c>
      <c r="BJ15" s="47">
        <f t="shared" si="12"/>
        <v>2.1210475127020225</v>
      </c>
      <c r="BK15" s="47">
        <f t="shared" si="13"/>
        <v>2.1545348850887676</v>
      </c>
      <c r="BL15" s="47">
        <f t="shared" si="13"/>
        <v>2.1885509604407476</v>
      </c>
      <c r="BM15" s="47">
        <f t="shared" si="13"/>
        <v>2.2231040859887385</v>
      </c>
      <c r="BN15" s="47">
        <f t="shared" si="13"/>
        <v>2.2582027407506788</v>
      </c>
      <c r="BO15" s="47">
        <f t="shared" si="13"/>
        <v>2.2938555376123353</v>
      </c>
      <c r="BP15" s="47">
        <f t="shared" si="13"/>
        <v>2.3300712254408302</v>
      </c>
      <c r="BQ15" s="47">
        <f t="shared" si="13"/>
        <v>2.3668586912315313</v>
      </c>
      <c r="BR15" s="47">
        <f t="shared" si="13"/>
        <v>2.4042269622888375</v>
      </c>
      <c r="BS15" s="47">
        <f t="shared" si="13"/>
        <v>2.4421852084413986</v>
      </c>
      <c r="BT15" s="47">
        <f t="shared" si="13"/>
        <v>2.4807427442923018</v>
      </c>
      <c r="BU15" s="47">
        <f t="shared" si="13"/>
        <v>2.5199090315047954</v>
      </c>
      <c r="BV15" s="47">
        <f t="shared" si="13"/>
        <v>2.5596936811240889</v>
      </c>
      <c r="BW15" s="47">
        <f t="shared" si="13"/>
        <v>2.600106455935816</v>
      </c>
      <c r="BX15" s="47">
        <f t="shared" si="13"/>
        <v>2.6411572728617339</v>
      </c>
      <c r="BY15" s="47">
        <f t="shared" si="13"/>
        <v>2.6828562053932403</v>
      </c>
    </row>
    <row r="16" spans="1:77" x14ac:dyDescent="0.25">
      <c r="A16" s="118"/>
      <c r="B16" s="46">
        <v>1998</v>
      </c>
      <c r="C16" s="47">
        <f t="shared" si="7"/>
        <v>0.82863333544292095</v>
      </c>
      <c r="D16" s="47">
        <f t="shared" si="7"/>
        <v>0.84171590568704457</v>
      </c>
      <c r="E16" s="47">
        <f t="shared" si="7"/>
        <v>0.85500502524178823</v>
      </c>
      <c r="F16" s="47">
        <f t="shared" si="7"/>
        <v>0.86850395513437495</v>
      </c>
      <c r="G16" s="47">
        <f t="shared" si="7"/>
        <v>0.88221600787754795</v>
      </c>
      <c r="H16" s="47">
        <f t="shared" si="7"/>
        <v>0.8961445482824294</v>
      </c>
      <c r="I16" s="47">
        <f t="shared" si="7"/>
        <v>0.91029299428421451</v>
      </c>
      <c r="J16" s="47">
        <f t="shared" si="7"/>
        <v>0.9246648177809017</v>
      </c>
      <c r="K16" s="47">
        <f t="shared" si="7"/>
        <v>0.9392635454852637</v>
      </c>
      <c r="L16" s="47">
        <f t="shared" si="7"/>
        <v>0.95409275979027042</v>
      </c>
      <c r="M16" s="47">
        <f t="shared" si="8"/>
        <v>0.96915609964817517</v>
      </c>
      <c r="N16" s="47">
        <f t="shared" si="8"/>
        <v>0.98445726146348034</v>
      </c>
      <c r="O16" s="47">
        <f t="shared" si="8"/>
        <v>1</v>
      </c>
      <c r="P16" s="47">
        <f t="shared" si="8"/>
        <v>1.0157881293022453</v>
      </c>
      <c r="Q16" s="47">
        <f t="shared" si="8"/>
        <v>1.0318255236313549</v>
      </c>
      <c r="R16" s="47">
        <f t="shared" si="8"/>
        <v>1.0481161184158037</v>
      </c>
      <c r="S16" s="47">
        <f t="shared" si="8"/>
        <v>1.0646639112171199</v>
      </c>
      <c r="T16" s="47">
        <f t="shared" si="8"/>
        <v>1.0814729627108499</v>
      </c>
      <c r="U16" s="47">
        <f t="shared" si="8"/>
        <v>1.0985473976830111</v>
      </c>
      <c r="V16" s="47">
        <f t="shared" si="8"/>
        <v>1.1158914060422755</v>
      </c>
      <c r="W16" s="47">
        <f t="shared" si="9"/>
        <v>1.1335092438481353</v>
      </c>
      <c r="X16" s="47">
        <f t="shared" si="9"/>
        <v>1.1514052343553001</v>
      </c>
      <c r="Y16" s="47">
        <f t="shared" si="9"/>
        <v>1.1695837690745834</v>
      </c>
      <c r="Z16" s="47">
        <f t="shared" si="9"/>
        <v>1.1880493088505404</v>
      </c>
      <c r="AA16" s="47">
        <f t="shared" si="9"/>
        <v>1.2068063849561159</v>
      </c>
      <c r="AB16" s="47">
        <f t="shared" si="9"/>
        <v>1.2258596002045781</v>
      </c>
      <c r="AC16" s="47">
        <f t="shared" si="9"/>
        <v>1.2452136300790069</v>
      </c>
      <c r="AD16" s="47">
        <f t="shared" si="9"/>
        <v>1.2648732238796123</v>
      </c>
      <c r="AE16" s="47">
        <f t="shared" si="9"/>
        <v>1.2848432058891714</v>
      </c>
      <c r="AF16" s="47">
        <f t="shared" si="9"/>
        <v>1.3051284765568609</v>
      </c>
      <c r="AG16" s="47">
        <f t="shared" si="10"/>
        <v>1.3257340137007831</v>
      </c>
      <c r="AH16" s="47">
        <f t="shared" si="10"/>
        <v>1.3466648737294755</v>
      </c>
      <c r="AI16" s="47">
        <f t="shared" si="10"/>
        <v>1.3679261928827084</v>
      </c>
      <c r="AJ16" s="47">
        <f t="shared" si="10"/>
        <v>1.3895231884918688</v>
      </c>
      <c r="AK16" s="47">
        <f t="shared" si="10"/>
        <v>1.4114611602602465</v>
      </c>
      <c r="AL16" s="47">
        <f t="shared" si="10"/>
        <v>1.4337454915635324</v>
      </c>
      <c r="AM16" s="47">
        <f t="shared" si="10"/>
        <v>1.4563816507708487</v>
      </c>
      <c r="AN16" s="47">
        <f t="shared" si="10"/>
        <v>1.4793751925866365</v>
      </c>
      <c r="AO16" s="47">
        <f t="shared" si="10"/>
        <v>1.5027317594137282</v>
      </c>
      <c r="AP16" s="47">
        <f t="shared" si="10"/>
        <v>1.5264570827379427</v>
      </c>
      <c r="AQ16" s="47">
        <f t="shared" si="11"/>
        <v>1.5505569845345375</v>
      </c>
      <c r="AR16" s="47">
        <f t="shared" si="11"/>
        <v>1.5750373786968681</v>
      </c>
      <c r="AS16" s="47">
        <f t="shared" si="11"/>
        <v>1.599904272487604</v>
      </c>
      <c r="AT16" s="47">
        <f t="shared" si="11"/>
        <v>1.6251637680128528</v>
      </c>
      <c r="AU16" s="47">
        <f t="shared" si="11"/>
        <v>1.6508220637195639</v>
      </c>
      <c r="AV16" s="47">
        <f t="shared" si="11"/>
        <v>1.6768854559165678</v>
      </c>
      <c r="AW16" s="47">
        <f t="shared" si="11"/>
        <v>1.7033603403196329</v>
      </c>
      <c r="AX16" s="47">
        <f t="shared" si="11"/>
        <v>1.7302532136209157</v>
      </c>
      <c r="AY16" s="47">
        <f t="shared" si="11"/>
        <v>1.7575706750831883</v>
      </c>
      <c r="AZ16" s="47">
        <f t="shared" si="11"/>
        <v>1.7853194281592362</v>
      </c>
      <c r="BA16" s="47">
        <f t="shared" si="12"/>
        <v>1.8135062821368249</v>
      </c>
      <c r="BB16" s="47">
        <f t="shared" si="12"/>
        <v>1.8421381538096351</v>
      </c>
      <c r="BC16" s="47">
        <f t="shared" si="12"/>
        <v>1.8712220691745811</v>
      </c>
      <c r="BD16" s="47">
        <f t="shared" si="12"/>
        <v>1.9007651651559245</v>
      </c>
      <c r="BE16" s="47">
        <f t="shared" si="12"/>
        <v>1.9307746913566095</v>
      </c>
      <c r="BF16" s="47">
        <f t="shared" si="12"/>
        <v>1.9612580118372507</v>
      </c>
      <c r="BG16" s="47">
        <f t="shared" si="12"/>
        <v>1.9922226069232016</v>
      </c>
      <c r="BH16" s="47">
        <f t="shared" si="12"/>
        <v>2.0236760750401612</v>
      </c>
      <c r="BI16" s="47">
        <f t="shared" si="12"/>
        <v>2.0556261345787559</v>
      </c>
      <c r="BJ16" s="47">
        <f t="shared" si="12"/>
        <v>2.0880806257885594</v>
      </c>
      <c r="BK16" s="47">
        <f t="shared" si="13"/>
        <v>2.1210475127020225</v>
      </c>
      <c r="BL16" s="47">
        <f t="shared" si="13"/>
        <v>2.1545348850887676</v>
      </c>
      <c r="BM16" s="47">
        <f t="shared" si="13"/>
        <v>2.1885509604407476</v>
      </c>
      <c r="BN16" s="47">
        <f t="shared" si="13"/>
        <v>2.2231040859887385</v>
      </c>
      <c r="BO16" s="47">
        <f t="shared" si="13"/>
        <v>2.2582027407506788</v>
      </c>
      <c r="BP16" s="47">
        <f t="shared" si="13"/>
        <v>2.2938555376123353</v>
      </c>
      <c r="BQ16" s="47">
        <f t="shared" si="13"/>
        <v>2.3300712254408302</v>
      </c>
      <c r="BR16" s="47">
        <f t="shared" si="13"/>
        <v>2.3668586912315313</v>
      </c>
      <c r="BS16" s="47">
        <f t="shared" si="13"/>
        <v>2.4042269622888375</v>
      </c>
      <c r="BT16" s="47">
        <f t="shared" si="13"/>
        <v>2.4421852084413986</v>
      </c>
      <c r="BU16" s="47">
        <f t="shared" si="13"/>
        <v>2.4807427442923018</v>
      </c>
      <c r="BV16" s="47">
        <f t="shared" si="13"/>
        <v>2.5199090315047954</v>
      </c>
      <c r="BW16" s="47">
        <f t="shared" si="13"/>
        <v>2.5596936811240889</v>
      </c>
      <c r="BX16" s="47">
        <f t="shared" si="13"/>
        <v>2.600106455935816</v>
      </c>
      <c r="BY16" s="47">
        <f t="shared" si="13"/>
        <v>2.6411572728617339</v>
      </c>
    </row>
    <row r="17" spans="1:77" x14ac:dyDescent="0.25">
      <c r="A17" s="118"/>
      <c r="B17" s="46">
        <v>1999</v>
      </c>
      <c r="C17" s="47">
        <f t="shared" si="7"/>
        <v>0.8157541041674875</v>
      </c>
      <c r="D17" s="47">
        <f t="shared" si="7"/>
        <v>0.82863333544292095</v>
      </c>
      <c r="E17" s="47">
        <f t="shared" si="7"/>
        <v>0.84171590568704457</v>
      </c>
      <c r="F17" s="47">
        <f t="shared" si="7"/>
        <v>0.85500502524178823</v>
      </c>
      <c r="G17" s="47">
        <f t="shared" si="7"/>
        <v>0.86850395513437495</v>
      </c>
      <c r="H17" s="47">
        <f t="shared" si="7"/>
        <v>0.88221600787754795</v>
      </c>
      <c r="I17" s="47">
        <f t="shared" si="7"/>
        <v>0.8961445482824294</v>
      </c>
      <c r="J17" s="47">
        <f t="shared" si="7"/>
        <v>0.91029299428421451</v>
      </c>
      <c r="K17" s="47">
        <f t="shared" si="7"/>
        <v>0.9246648177809017</v>
      </c>
      <c r="L17" s="47">
        <f t="shared" si="7"/>
        <v>0.9392635454852637</v>
      </c>
      <c r="M17" s="47">
        <f t="shared" si="8"/>
        <v>0.95409275979027042</v>
      </c>
      <c r="N17" s="47">
        <f t="shared" si="8"/>
        <v>0.96915609964817517</v>
      </c>
      <c r="O17" s="47">
        <f t="shared" si="8"/>
        <v>0.98445726146348034</v>
      </c>
      <c r="P17" s="47">
        <f t="shared" si="8"/>
        <v>1</v>
      </c>
      <c r="Q17" s="47">
        <f t="shared" si="8"/>
        <v>1.0157881293022453</v>
      </c>
      <c r="R17" s="47">
        <f t="shared" si="8"/>
        <v>1.0318255236313549</v>
      </c>
      <c r="S17" s="47">
        <f t="shared" si="8"/>
        <v>1.0481161184158037</v>
      </c>
      <c r="T17" s="47">
        <f t="shared" si="8"/>
        <v>1.0646639112171199</v>
      </c>
      <c r="U17" s="47">
        <f t="shared" si="8"/>
        <v>1.0814729627108499</v>
      </c>
      <c r="V17" s="47">
        <f t="shared" si="8"/>
        <v>1.0985473976830111</v>
      </c>
      <c r="W17" s="47">
        <f t="shared" si="9"/>
        <v>1.1158914060422755</v>
      </c>
      <c r="X17" s="47">
        <f t="shared" si="9"/>
        <v>1.1335092438481353</v>
      </c>
      <c r="Y17" s="47">
        <f t="shared" si="9"/>
        <v>1.1514052343553001</v>
      </c>
      <c r="Z17" s="47">
        <f t="shared" si="9"/>
        <v>1.1695837690745834</v>
      </c>
      <c r="AA17" s="47">
        <f t="shared" si="9"/>
        <v>1.1880493088505404</v>
      </c>
      <c r="AB17" s="47">
        <f t="shared" si="9"/>
        <v>1.2068063849561159</v>
      </c>
      <c r="AC17" s="47">
        <f t="shared" si="9"/>
        <v>1.2258596002045781</v>
      </c>
      <c r="AD17" s="47">
        <f t="shared" si="9"/>
        <v>1.2452136300790069</v>
      </c>
      <c r="AE17" s="47">
        <f t="shared" si="9"/>
        <v>1.2648732238796123</v>
      </c>
      <c r="AF17" s="47">
        <f t="shared" si="9"/>
        <v>1.2848432058891714</v>
      </c>
      <c r="AG17" s="47">
        <f t="shared" si="10"/>
        <v>1.3051284765568609</v>
      </c>
      <c r="AH17" s="47">
        <f t="shared" si="10"/>
        <v>1.3257340137007831</v>
      </c>
      <c r="AI17" s="47">
        <f t="shared" si="10"/>
        <v>1.3466648737294755</v>
      </c>
      <c r="AJ17" s="47">
        <f t="shared" si="10"/>
        <v>1.3679261928827084</v>
      </c>
      <c r="AK17" s="47">
        <f t="shared" si="10"/>
        <v>1.3895231884918688</v>
      </c>
      <c r="AL17" s="47">
        <f t="shared" si="10"/>
        <v>1.4114611602602465</v>
      </c>
      <c r="AM17" s="47">
        <f t="shared" si="10"/>
        <v>1.4337454915635324</v>
      </c>
      <c r="AN17" s="47">
        <f t="shared" si="10"/>
        <v>1.4563816507708487</v>
      </c>
      <c r="AO17" s="47">
        <f t="shared" si="10"/>
        <v>1.4793751925866365</v>
      </c>
      <c r="AP17" s="47">
        <f t="shared" si="10"/>
        <v>1.5027317594137282</v>
      </c>
      <c r="AQ17" s="47">
        <f t="shared" si="11"/>
        <v>1.5264570827379427</v>
      </c>
      <c r="AR17" s="47">
        <f t="shared" si="11"/>
        <v>1.5505569845345375</v>
      </c>
      <c r="AS17" s="47">
        <f t="shared" si="11"/>
        <v>1.5750373786968681</v>
      </c>
      <c r="AT17" s="47">
        <f t="shared" si="11"/>
        <v>1.599904272487604</v>
      </c>
      <c r="AU17" s="47">
        <f t="shared" si="11"/>
        <v>1.6251637680128528</v>
      </c>
      <c r="AV17" s="47">
        <f t="shared" si="11"/>
        <v>1.6508220637195639</v>
      </c>
      <c r="AW17" s="47">
        <f t="shared" si="11"/>
        <v>1.6768854559165678</v>
      </c>
      <c r="AX17" s="47">
        <f t="shared" si="11"/>
        <v>1.7033603403196329</v>
      </c>
      <c r="AY17" s="47">
        <f t="shared" si="11"/>
        <v>1.7302532136209157</v>
      </c>
      <c r="AZ17" s="47">
        <f t="shared" si="11"/>
        <v>1.7575706750831883</v>
      </c>
      <c r="BA17" s="47">
        <f t="shared" si="12"/>
        <v>1.7853194281592362</v>
      </c>
      <c r="BB17" s="47">
        <f t="shared" si="12"/>
        <v>1.8135062821368249</v>
      </c>
      <c r="BC17" s="47">
        <f t="shared" si="12"/>
        <v>1.8421381538096351</v>
      </c>
      <c r="BD17" s="47">
        <f t="shared" si="12"/>
        <v>1.8712220691745811</v>
      </c>
      <c r="BE17" s="47">
        <f t="shared" si="12"/>
        <v>1.9007651651559245</v>
      </c>
      <c r="BF17" s="47">
        <f t="shared" si="12"/>
        <v>1.9307746913566095</v>
      </c>
      <c r="BG17" s="47">
        <f t="shared" si="12"/>
        <v>1.9612580118372507</v>
      </c>
      <c r="BH17" s="47">
        <f t="shared" si="12"/>
        <v>1.9922226069232016</v>
      </c>
      <c r="BI17" s="47">
        <f t="shared" si="12"/>
        <v>2.0236760750401612</v>
      </c>
      <c r="BJ17" s="47">
        <f t="shared" si="12"/>
        <v>2.0556261345787559</v>
      </c>
      <c r="BK17" s="47">
        <f t="shared" si="13"/>
        <v>2.0880806257885594</v>
      </c>
      <c r="BL17" s="47">
        <f t="shared" si="13"/>
        <v>2.1210475127020225</v>
      </c>
      <c r="BM17" s="47">
        <f t="shared" si="13"/>
        <v>2.1545348850887676</v>
      </c>
      <c r="BN17" s="47">
        <f t="shared" si="13"/>
        <v>2.1885509604407476</v>
      </c>
      <c r="BO17" s="47">
        <f t="shared" si="13"/>
        <v>2.2231040859887385</v>
      </c>
      <c r="BP17" s="47">
        <f t="shared" si="13"/>
        <v>2.2582027407506788</v>
      </c>
      <c r="BQ17" s="47">
        <f t="shared" si="13"/>
        <v>2.2938555376123353</v>
      </c>
      <c r="BR17" s="47">
        <f t="shared" si="13"/>
        <v>2.3300712254408302</v>
      </c>
      <c r="BS17" s="47">
        <f t="shared" si="13"/>
        <v>2.3668586912315313</v>
      </c>
      <c r="BT17" s="47">
        <f t="shared" si="13"/>
        <v>2.4042269622888375</v>
      </c>
      <c r="BU17" s="47">
        <f t="shared" si="13"/>
        <v>2.4421852084413986</v>
      </c>
      <c r="BV17" s="47">
        <f t="shared" si="13"/>
        <v>2.4807427442923018</v>
      </c>
      <c r="BW17" s="47">
        <f t="shared" si="13"/>
        <v>2.5199090315047954</v>
      </c>
      <c r="BX17" s="47">
        <f t="shared" si="13"/>
        <v>2.5596936811240889</v>
      </c>
      <c r="BY17" s="47">
        <f t="shared" si="13"/>
        <v>2.600106455935816</v>
      </c>
    </row>
    <row r="18" spans="1:77" x14ac:dyDescent="0.25">
      <c r="A18" s="118"/>
      <c r="B18" s="46">
        <v>2000</v>
      </c>
      <c r="C18" s="47">
        <f t="shared" si="7"/>
        <v>0.8030750514163193</v>
      </c>
      <c r="D18" s="47">
        <f t="shared" si="7"/>
        <v>0.8157541041674875</v>
      </c>
      <c r="E18" s="47">
        <f t="shared" si="7"/>
        <v>0.82863333544292095</v>
      </c>
      <c r="F18" s="47">
        <f t="shared" si="7"/>
        <v>0.84171590568704457</v>
      </c>
      <c r="G18" s="47">
        <f t="shared" si="7"/>
        <v>0.85500502524178823</v>
      </c>
      <c r="H18" s="47">
        <f t="shared" si="7"/>
        <v>0.86850395513437495</v>
      </c>
      <c r="I18" s="47">
        <f t="shared" si="7"/>
        <v>0.88221600787754795</v>
      </c>
      <c r="J18" s="47">
        <f t="shared" si="7"/>
        <v>0.8961445482824294</v>
      </c>
      <c r="K18" s="47">
        <f t="shared" si="7"/>
        <v>0.91029299428421451</v>
      </c>
      <c r="L18" s="47">
        <f t="shared" si="7"/>
        <v>0.9246648177809017</v>
      </c>
      <c r="M18" s="47">
        <f t="shared" si="8"/>
        <v>0.9392635454852637</v>
      </c>
      <c r="N18" s="47">
        <f t="shared" si="8"/>
        <v>0.95409275979027042</v>
      </c>
      <c r="O18" s="47">
        <f t="shared" si="8"/>
        <v>0.96915609964817517</v>
      </c>
      <c r="P18" s="47">
        <f t="shared" si="8"/>
        <v>0.98445726146348034</v>
      </c>
      <c r="Q18" s="47">
        <f t="shared" si="8"/>
        <v>1</v>
      </c>
      <c r="R18" s="47">
        <f t="shared" si="8"/>
        <v>1.0157881293022453</v>
      </c>
      <c r="S18" s="47">
        <f t="shared" si="8"/>
        <v>1.0318255236313549</v>
      </c>
      <c r="T18" s="47">
        <f t="shared" si="8"/>
        <v>1.0481161184158037</v>
      </c>
      <c r="U18" s="47">
        <f t="shared" si="8"/>
        <v>1.0646639112171199</v>
      </c>
      <c r="V18" s="47">
        <f t="shared" si="8"/>
        <v>1.0814729627108499</v>
      </c>
      <c r="W18" s="47">
        <f t="shared" si="9"/>
        <v>1.0985473976830111</v>
      </c>
      <c r="X18" s="47">
        <f t="shared" si="9"/>
        <v>1.1158914060422755</v>
      </c>
      <c r="Y18" s="47">
        <f t="shared" si="9"/>
        <v>1.1335092438481353</v>
      </c>
      <c r="Z18" s="47">
        <f t="shared" si="9"/>
        <v>1.1514052343553001</v>
      </c>
      <c r="AA18" s="47">
        <f t="shared" si="9"/>
        <v>1.1695837690745834</v>
      </c>
      <c r="AB18" s="47">
        <f t="shared" si="9"/>
        <v>1.1880493088505404</v>
      </c>
      <c r="AC18" s="47">
        <f t="shared" si="9"/>
        <v>1.2068063849561159</v>
      </c>
      <c r="AD18" s="47">
        <f t="shared" si="9"/>
        <v>1.2258596002045781</v>
      </c>
      <c r="AE18" s="47">
        <f t="shared" si="9"/>
        <v>1.2452136300790069</v>
      </c>
      <c r="AF18" s="47">
        <f t="shared" si="9"/>
        <v>1.2648732238796123</v>
      </c>
      <c r="AG18" s="47">
        <f t="shared" si="10"/>
        <v>1.2848432058891714</v>
      </c>
      <c r="AH18" s="47">
        <f t="shared" si="10"/>
        <v>1.3051284765568609</v>
      </c>
      <c r="AI18" s="47">
        <f t="shared" si="10"/>
        <v>1.3257340137007831</v>
      </c>
      <c r="AJ18" s="47">
        <f t="shared" si="10"/>
        <v>1.3466648737294755</v>
      </c>
      <c r="AK18" s="47">
        <f t="shared" si="10"/>
        <v>1.3679261928827084</v>
      </c>
      <c r="AL18" s="47">
        <f t="shared" si="10"/>
        <v>1.3895231884918688</v>
      </c>
      <c r="AM18" s="47">
        <f t="shared" si="10"/>
        <v>1.4114611602602465</v>
      </c>
      <c r="AN18" s="47">
        <f t="shared" si="10"/>
        <v>1.4337454915635324</v>
      </c>
      <c r="AO18" s="47">
        <f t="shared" si="10"/>
        <v>1.4563816507708487</v>
      </c>
      <c r="AP18" s="47">
        <f t="shared" si="10"/>
        <v>1.4793751925866365</v>
      </c>
      <c r="AQ18" s="47">
        <f t="shared" si="11"/>
        <v>1.5027317594137282</v>
      </c>
      <c r="AR18" s="47">
        <f t="shared" si="11"/>
        <v>1.5264570827379427</v>
      </c>
      <c r="AS18" s="47">
        <f t="shared" si="11"/>
        <v>1.5505569845345375</v>
      </c>
      <c r="AT18" s="47">
        <f t="shared" si="11"/>
        <v>1.5750373786968681</v>
      </c>
      <c r="AU18" s="47">
        <f t="shared" si="11"/>
        <v>1.599904272487604</v>
      </c>
      <c r="AV18" s="47">
        <f t="shared" si="11"/>
        <v>1.6251637680128528</v>
      </c>
      <c r="AW18" s="47">
        <f t="shared" si="11"/>
        <v>1.6508220637195639</v>
      </c>
      <c r="AX18" s="47">
        <f t="shared" si="11"/>
        <v>1.6768854559165678</v>
      </c>
      <c r="AY18" s="47">
        <f t="shared" si="11"/>
        <v>1.7033603403196329</v>
      </c>
      <c r="AZ18" s="47">
        <f t="shared" si="11"/>
        <v>1.7302532136209157</v>
      </c>
      <c r="BA18" s="47">
        <f t="shared" si="12"/>
        <v>1.7575706750831883</v>
      </c>
      <c r="BB18" s="47">
        <f t="shared" si="12"/>
        <v>1.7853194281592362</v>
      </c>
      <c r="BC18" s="47">
        <f t="shared" si="12"/>
        <v>1.8135062821368249</v>
      </c>
      <c r="BD18" s="47">
        <f t="shared" si="12"/>
        <v>1.8421381538096351</v>
      </c>
      <c r="BE18" s="47">
        <f t="shared" si="12"/>
        <v>1.8712220691745811</v>
      </c>
      <c r="BF18" s="47">
        <f t="shared" si="12"/>
        <v>1.9007651651559245</v>
      </c>
      <c r="BG18" s="47">
        <f t="shared" si="12"/>
        <v>1.9307746913566095</v>
      </c>
      <c r="BH18" s="47">
        <f t="shared" si="12"/>
        <v>1.9612580118372507</v>
      </c>
      <c r="BI18" s="47">
        <f t="shared" si="12"/>
        <v>1.9922226069232016</v>
      </c>
      <c r="BJ18" s="47">
        <f t="shared" si="12"/>
        <v>2.0236760750401612</v>
      </c>
      <c r="BK18" s="47">
        <f t="shared" si="13"/>
        <v>2.0556261345787559</v>
      </c>
      <c r="BL18" s="47">
        <f t="shared" si="13"/>
        <v>2.0880806257885594</v>
      </c>
      <c r="BM18" s="47">
        <f t="shared" si="13"/>
        <v>2.1210475127020225</v>
      </c>
      <c r="BN18" s="47">
        <f t="shared" si="13"/>
        <v>2.1545348850887676</v>
      </c>
      <c r="BO18" s="47">
        <f t="shared" si="13"/>
        <v>2.1885509604407476</v>
      </c>
      <c r="BP18" s="47">
        <f t="shared" si="13"/>
        <v>2.2231040859887385</v>
      </c>
      <c r="BQ18" s="47">
        <f t="shared" si="13"/>
        <v>2.2582027407506788</v>
      </c>
      <c r="BR18" s="47">
        <f t="shared" si="13"/>
        <v>2.2938555376123353</v>
      </c>
      <c r="BS18" s="47">
        <f t="shared" si="13"/>
        <v>2.3300712254408302</v>
      </c>
      <c r="BT18" s="47">
        <f t="shared" si="13"/>
        <v>2.3668586912315313</v>
      </c>
      <c r="BU18" s="47">
        <f t="shared" si="13"/>
        <v>2.4042269622888375</v>
      </c>
      <c r="BV18" s="47">
        <f t="shared" si="13"/>
        <v>2.4421852084413986</v>
      </c>
      <c r="BW18" s="47">
        <f t="shared" si="13"/>
        <v>2.4807427442923018</v>
      </c>
      <c r="BX18" s="47">
        <f t="shared" si="13"/>
        <v>2.5199090315047954</v>
      </c>
      <c r="BY18" s="47">
        <f t="shared" si="13"/>
        <v>2.5596936811240889</v>
      </c>
    </row>
    <row r="19" spans="1:77" x14ac:dyDescent="0.25">
      <c r="A19" s="118"/>
      <c r="B19" s="46">
        <v>2001</v>
      </c>
      <c r="C19" s="47">
        <f t="shared" si="7"/>
        <v>0.79059306586695333</v>
      </c>
      <c r="D19" s="47">
        <f t="shared" si="7"/>
        <v>0.8030750514163193</v>
      </c>
      <c r="E19" s="47">
        <f t="shared" si="7"/>
        <v>0.8157541041674875</v>
      </c>
      <c r="F19" s="47">
        <f t="shared" si="7"/>
        <v>0.82863333544292095</v>
      </c>
      <c r="G19" s="47">
        <f t="shared" si="7"/>
        <v>0.84171590568704457</v>
      </c>
      <c r="H19" s="47">
        <f t="shared" si="7"/>
        <v>0.85500502524178823</v>
      </c>
      <c r="I19" s="47">
        <f t="shared" si="7"/>
        <v>0.86850395513437495</v>
      </c>
      <c r="J19" s="47">
        <f t="shared" si="7"/>
        <v>0.88221600787754795</v>
      </c>
      <c r="K19" s="47">
        <f t="shared" si="7"/>
        <v>0.8961445482824294</v>
      </c>
      <c r="L19" s="47">
        <f t="shared" si="7"/>
        <v>0.91029299428421451</v>
      </c>
      <c r="M19" s="47">
        <f t="shared" si="8"/>
        <v>0.9246648177809017</v>
      </c>
      <c r="N19" s="47">
        <f t="shared" si="8"/>
        <v>0.9392635454852637</v>
      </c>
      <c r="O19" s="47">
        <f t="shared" si="8"/>
        <v>0.95409275979027042</v>
      </c>
      <c r="P19" s="47">
        <f t="shared" si="8"/>
        <v>0.96915609964817517</v>
      </c>
      <c r="Q19" s="47">
        <f t="shared" si="8"/>
        <v>0.98445726146348034</v>
      </c>
      <c r="R19" s="47">
        <f t="shared" si="8"/>
        <v>1</v>
      </c>
      <c r="S19" s="47">
        <f t="shared" si="8"/>
        <v>1.0157881293022453</v>
      </c>
      <c r="T19" s="47">
        <f t="shared" si="8"/>
        <v>1.0318255236313549</v>
      </c>
      <c r="U19" s="47">
        <f t="shared" si="8"/>
        <v>1.0481161184158037</v>
      </c>
      <c r="V19" s="47">
        <f t="shared" si="8"/>
        <v>1.0646639112171199</v>
      </c>
      <c r="W19" s="47">
        <f t="shared" si="9"/>
        <v>1.0814729627108499</v>
      </c>
      <c r="X19" s="47">
        <f t="shared" si="9"/>
        <v>1.0985473976830111</v>
      </c>
      <c r="Y19" s="47">
        <f t="shared" si="9"/>
        <v>1.1158914060422755</v>
      </c>
      <c r="Z19" s="47">
        <f t="shared" si="9"/>
        <v>1.1335092438481353</v>
      </c>
      <c r="AA19" s="47">
        <f t="shared" si="9"/>
        <v>1.1514052343553001</v>
      </c>
      <c r="AB19" s="47">
        <f t="shared" si="9"/>
        <v>1.1695837690745834</v>
      </c>
      <c r="AC19" s="47">
        <f t="shared" si="9"/>
        <v>1.1880493088505404</v>
      </c>
      <c r="AD19" s="47">
        <f t="shared" si="9"/>
        <v>1.2068063849561159</v>
      </c>
      <c r="AE19" s="47">
        <f t="shared" si="9"/>
        <v>1.2258596002045781</v>
      </c>
      <c r="AF19" s="47">
        <f t="shared" si="9"/>
        <v>1.2452136300790069</v>
      </c>
      <c r="AG19" s="47">
        <f t="shared" si="10"/>
        <v>1.2648732238796123</v>
      </c>
      <c r="AH19" s="47">
        <f t="shared" si="10"/>
        <v>1.2848432058891714</v>
      </c>
      <c r="AI19" s="47">
        <f t="shared" si="10"/>
        <v>1.3051284765568609</v>
      </c>
      <c r="AJ19" s="47">
        <f t="shared" si="10"/>
        <v>1.3257340137007831</v>
      </c>
      <c r="AK19" s="47">
        <f t="shared" si="10"/>
        <v>1.3466648737294755</v>
      </c>
      <c r="AL19" s="47">
        <f t="shared" si="10"/>
        <v>1.3679261928827084</v>
      </c>
      <c r="AM19" s="47">
        <f t="shared" si="10"/>
        <v>1.3895231884918688</v>
      </c>
      <c r="AN19" s="47">
        <f t="shared" si="10"/>
        <v>1.4114611602602465</v>
      </c>
      <c r="AO19" s="47">
        <f t="shared" si="10"/>
        <v>1.4337454915635324</v>
      </c>
      <c r="AP19" s="47">
        <f t="shared" si="10"/>
        <v>1.4563816507708487</v>
      </c>
      <c r="AQ19" s="47">
        <f t="shared" si="11"/>
        <v>1.4793751925866365</v>
      </c>
      <c r="AR19" s="47">
        <f t="shared" si="11"/>
        <v>1.5027317594137282</v>
      </c>
      <c r="AS19" s="47">
        <f t="shared" si="11"/>
        <v>1.5264570827379427</v>
      </c>
      <c r="AT19" s="47">
        <f t="shared" si="11"/>
        <v>1.5505569845345375</v>
      </c>
      <c r="AU19" s="47">
        <f t="shared" si="11"/>
        <v>1.5750373786968681</v>
      </c>
      <c r="AV19" s="47">
        <f t="shared" si="11"/>
        <v>1.599904272487604</v>
      </c>
      <c r="AW19" s="47">
        <f t="shared" si="11"/>
        <v>1.6251637680128528</v>
      </c>
      <c r="AX19" s="47">
        <f t="shared" si="11"/>
        <v>1.6508220637195639</v>
      </c>
      <c r="AY19" s="47">
        <f t="shared" si="11"/>
        <v>1.6768854559165678</v>
      </c>
      <c r="AZ19" s="47">
        <f t="shared" si="11"/>
        <v>1.7033603403196329</v>
      </c>
      <c r="BA19" s="47">
        <f t="shared" si="12"/>
        <v>1.7302532136209157</v>
      </c>
      <c r="BB19" s="47">
        <f t="shared" si="12"/>
        <v>1.7575706750831883</v>
      </c>
      <c r="BC19" s="47">
        <f t="shared" si="12"/>
        <v>1.7853194281592362</v>
      </c>
      <c r="BD19" s="47">
        <f t="shared" si="12"/>
        <v>1.8135062821368249</v>
      </c>
      <c r="BE19" s="47">
        <f t="shared" si="12"/>
        <v>1.8421381538096351</v>
      </c>
      <c r="BF19" s="47">
        <f t="shared" si="12"/>
        <v>1.8712220691745811</v>
      </c>
      <c r="BG19" s="47">
        <f t="shared" si="12"/>
        <v>1.9007651651559245</v>
      </c>
      <c r="BH19" s="47">
        <f t="shared" si="12"/>
        <v>1.9307746913566095</v>
      </c>
      <c r="BI19" s="47">
        <f t="shared" si="12"/>
        <v>1.9612580118372507</v>
      </c>
      <c r="BJ19" s="47">
        <f t="shared" si="12"/>
        <v>1.9922226069232016</v>
      </c>
      <c r="BK19" s="47">
        <f t="shared" si="13"/>
        <v>2.0236760750401612</v>
      </c>
      <c r="BL19" s="47">
        <f t="shared" si="13"/>
        <v>2.0556261345787559</v>
      </c>
      <c r="BM19" s="47">
        <f t="shared" si="13"/>
        <v>2.0880806257885594</v>
      </c>
      <c r="BN19" s="47">
        <f t="shared" si="13"/>
        <v>2.1210475127020225</v>
      </c>
      <c r="BO19" s="47">
        <f t="shared" si="13"/>
        <v>2.1545348850887676</v>
      </c>
      <c r="BP19" s="47">
        <f t="shared" si="13"/>
        <v>2.1885509604407476</v>
      </c>
      <c r="BQ19" s="47">
        <f t="shared" si="13"/>
        <v>2.2231040859887385</v>
      </c>
      <c r="BR19" s="47">
        <f t="shared" si="13"/>
        <v>2.2582027407506788</v>
      </c>
      <c r="BS19" s="47">
        <f t="shared" si="13"/>
        <v>2.2938555376123353</v>
      </c>
      <c r="BT19" s="47">
        <f t="shared" si="13"/>
        <v>2.3300712254408302</v>
      </c>
      <c r="BU19" s="47">
        <f t="shared" si="13"/>
        <v>2.3668586912315313</v>
      </c>
      <c r="BV19" s="47">
        <f t="shared" si="13"/>
        <v>2.4042269622888375</v>
      </c>
      <c r="BW19" s="47">
        <f t="shared" si="13"/>
        <v>2.4421852084413986</v>
      </c>
      <c r="BX19" s="47">
        <f t="shared" si="13"/>
        <v>2.4807427442923018</v>
      </c>
      <c r="BY19" s="47">
        <f t="shared" si="13"/>
        <v>2.5199090315047954</v>
      </c>
    </row>
    <row r="20" spans="1:77" x14ac:dyDescent="0.25">
      <c r="A20" s="118"/>
      <c r="B20" s="46">
        <v>2002</v>
      </c>
      <c r="C20" s="47">
        <f t="shared" si="7"/>
        <v>0.77830508455539782</v>
      </c>
      <c r="D20" s="47">
        <f t="shared" si="7"/>
        <v>0.79059306586695333</v>
      </c>
      <c r="E20" s="47">
        <f t="shared" si="7"/>
        <v>0.8030750514163193</v>
      </c>
      <c r="F20" s="47">
        <f t="shared" si="7"/>
        <v>0.8157541041674875</v>
      </c>
      <c r="G20" s="47">
        <f t="shared" si="7"/>
        <v>0.82863333544292095</v>
      </c>
      <c r="H20" s="47">
        <f t="shared" si="7"/>
        <v>0.84171590568704457</v>
      </c>
      <c r="I20" s="47">
        <f t="shared" si="7"/>
        <v>0.85500502524178823</v>
      </c>
      <c r="J20" s="47">
        <f t="shared" si="7"/>
        <v>0.86850395513437495</v>
      </c>
      <c r="K20" s="47">
        <f t="shared" si="7"/>
        <v>0.88221600787754795</v>
      </c>
      <c r="L20" s="47">
        <f t="shared" si="7"/>
        <v>0.8961445482824294</v>
      </c>
      <c r="M20" s="47">
        <f t="shared" si="8"/>
        <v>0.91029299428421451</v>
      </c>
      <c r="N20" s="47">
        <f t="shared" si="8"/>
        <v>0.9246648177809017</v>
      </c>
      <c r="O20" s="47">
        <f t="shared" si="8"/>
        <v>0.9392635454852637</v>
      </c>
      <c r="P20" s="47">
        <f t="shared" si="8"/>
        <v>0.95409275979027042</v>
      </c>
      <c r="Q20" s="47">
        <f t="shared" si="8"/>
        <v>0.96915609964817517</v>
      </c>
      <c r="R20" s="47">
        <f t="shared" si="8"/>
        <v>0.98445726146348034</v>
      </c>
      <c r="S20" s="47">
        <f t="shared" si="8"/>
        <v>1</v>
      </c>
      <c r="T20" s="47">
        <f t="shared" si="8"/>
        <v>1.0157881293022453</v>
      </c>
      <c r="U20" s="47">
        <f t="shared" si="8"/>
        <v>1.0318255236313549</v>
      </c>
      <c r="V20" s="47">
        <f t="shared" si="8"/>
        <v>1.0481161184158037</v>
      </c>
      <c r="W20" s="47">
        <f t="shared" si="9"/>
        <v>1.0646639112171199</v>
      </c>
      <c r="X20" s="47">
        <f t="shared" si="9"/>
        <v>1.0814729627108499</v>
      </c>
      <c r="Y20" s="47">
        <f t="shared" si="9"/>
        <v>1.0985473976830111</v>
      </c>
      <c r="Z20" s="47">
        <f t="shared" si="9"/>
        <v>1.1158914060422755</v>
      </c>
      <c r="AA20" s="47">
        <f t="shared" si="9"/>
        <v>1.1335092438481353</v>
      </c>
      <c r="AB20" s="47">
        <f t="shared" si="9"/>
        <v>1.1514052343553001</v>
      </c>
      <c r="AC20" s="47">
        <f t="shared" si="9"/>
        <v>1.1695837690745834</v>
      </c>
      <c r="AD20" s="47">
        <f t="shared" si="9"/>
        <v>1.1880493088505404</v>
      </c>
      <c r="AE20" s="47">
        <f t="shared" si="9"/>
        <v>1.2068063849561159</v>
      </c>
      <c r="AF20" s="47">
        <f t="shared" si="9"/>
        <v>1.2258596002045781</v>
      </c>
      <c r="AG20" s="47">
        <f t="shared" si="10"/>
        <v>1.2452136300790069</v>
      </c>
      <c r="AH20" s="47">
        <f t="shared" si="10"/>
        <v>1.2648732238796123</v>
      </c>
      <c r="AI20" s="47">
        <f t="shared" si="10"/>
        <v>1.2848432058891714</v>
      </c>
      <c r="AJ20" s="47">
        <f t="shared" si="10"/>
        <v>1.3051284765568609</v>
      </c>
      <c r="AK20" s="47">
        <f t="shared" si="10"/>
        <v>1.3257340137007831</v>
      </c>
      <c r="AL20" s="47">
        <f t="shared" si="10"/>
        <v>1.3466648737294755</v>
      </c>
      <c r="AM20" s="47">
        <f t="shared" si="10"/>
        <v>1.3679261928827084</v>
      </c>
      <c r="AN20" s="47">
        <f t="shared" si="10"/>
        <v>1.3895231884918688</v>
      </c>
      <c r="AO20" s="47">
        <f t="shared" si="10"/>
        <v>1.4114611602602465</v>
      </c>
      <c r="AP20" s="47">
        <f t="shared" si="10"/>
        <v>1.4337454915635324</v>
      </c>
      <c r="AQ20" s="47">
        <f t="shared" si="11"/>
        <v>1.4563816507708487</v>
      </c>
      <c r="AR20" s="47">
        <f t="shared" si="11"/>
        <v>1.4793751925866365</v>
      </c>
      <c r="AS20" s="47">
        <f t="shared" si="11"/>
        <v>1.5027317594137282</v>
      </c>
      <c r="AT20" s="47">
        <f t="shared" si="11"/>
        <v>1.5264570827379427</v>
      </c>
      <c r="AU20" s="47">
        <f t="shared" si="11"/>
        <v>1.5505569845345375</v>
      </c>
      <c r="AV20" s="47">
        <f t="shared" si="11"/>
        <v>1.5750373786968681</v>
      </c>
      <c r="AW20" s="47">
        <f t="shared" si="11"/>
        <v>1.599904272487604</v>
      </c>
      <c r="AX20" s="47">
        <f t="shared" si="11"/>
        <v>1.6251637680128528</v>
      </c>
      <c r="AY20" s="47">
        <f t="shared" si="11"/>
        <v>1.6508220637195639</v>
      </c>
      <c r="AZ20" s="47">
        <f t="shared" si="11"/>
        <v>1.6768854559165678</v>
      </c>
      <c r="BA20" s="47">
        <f t="shared" si="12"/>
        <v>1.7033603403196329</v>
      </c>
      <c r="BB20" s="47">
        <f t="shared" si="12"/>
        <v>1.7302532136209157</v>
      </c>
      <c r="BC20" s="47">
        <f t="shared" si="12"/>
        <v>1.7575706750831883</v>
      </c>
      <c r="BD20" s="47">
        <f t="shared" si="12"/>
        <v>1.7853194281592362</v>
      </c>
      <c r="BE20" s="47">
        <f t="shared" si="12"/>
        <v>1.8135062821368249</v>
      </c>
      <c r="BF20" s="47">
        <f t="shared" si="12"/>
        <v>1.8421381538096351</v>
      </c>
      <c r="BG20" s="47">
        <f t="shared" si="12"/>
        <v>1.8712220691745811</v>
      </c>
      <c r="BH20" s="47">
        <f t="shared" si="12"/>
        <v>1.9007651651559245</v>
      </c>
      <c r="BI20" s="47">
        <f t="shared" si="12"/>
        <v>1.9307746913566095</v>
      </c>
      <c r="BJ20" s="47">
        <f t="shared" si="12"/>
        <v>1.9612580118372507</v>
      </c>
      <c r="BK20" s="47">
        <f t="shared" si="13"/>
        <v>1.9922226069232016</v>
      </c>
      <c r="BL20" s="47">
        <f t="shared" si="13"/>
        <v>2.0236760750401612</v>
      </c>
      <c r="BM20" s="47">
        <f t="shared" si="13"/>
        <v>2.0556261345787559</v>
      </c>
      <c r="BN20" s="47">
        <f t="shared" si="13"/>
        <v>2.0880806257885594</v>
      </c>
      <c r="BO20" s="47">
        <f t="shared" si="13"/>
        <v>2.1210475127020225</v>
      </c>
      <c r="BP20" s="47">
        <f t="shared" si="13"/>
        <v>2.1545348850887676</v>
      </c>
      <c r="BQ20" s="47">
        <f t="shared" si="13"/>
        <v>2.1885509604407476</v>
      </c>
      <c r="BR20" s="47">
        <f t="shared" si="13"/>
        <v>2.2231040859887385</v>
      </c>
      <c r="BS20" s="47">
        <f t="shared" si="13"/>
        <v>2.2582027407506788</v>
      </c>
      <c r="BT20" s="47">
        <f t="shared" si="13"/>
        <v>2.2938555376123353</v>
      </c>
      <c r="BU20" s="47">
        <f t="shared" si="13"/>
        <v>2.3300712254408302</v>
      </c>
      <c r="BV20" s="47">
        <f t="shared" si="13"/>
        <v>2.3668586912315313</v>
      </c>
      <c r="BW20" s="47">
        <f t="shared" si="13"/>
        <v>2.4042269622888375</v>
      </c>
      <c r="BX20" s="47">
        <f t="shared" si="13"/>
        <v>2.4421852084413986</v>
      </c>
      <c r="BY20" s="47">
        <f t="shared" si="13"/>
        <v>2.4807427442923018</v>
      </c>
    </row>
    <row r="21" spans="1:77" x14ac:dyDescent="0.25">
      <c r="A21" s="118"/>
      <c r="B21" s="46">
        <v>2003</v>
      </c>
      <c r="C21" s="47">
        <f t="shared" si="7"/>
        <v>0.76620809212450947</v>
      </c>
      <c r="D21" s="47">
        <f t="shared" si="7"/>
        <v>0.77830508455539782</v>
      </c>
      <c r="E21" s="47">
        <f t="shared" si="7"/>
        <v>0.79059306586695333</v>
      </c>
      <c r="F21" s="47">
        <f t="shared" si="7"/>
        <v>0.8030750514163193</v>
      </c>
      <c r="G21" s="47">
        <f t="shared" si="7"/>
        <v>0.8157541041674875</v>
      </c>
      <c r="H21" s="47">
        <f t="shared" si="7"/>
        <v>0.82863333544292095</v>
      </c>
      <c r="I21" s="47">
        <f t="shared" si="7"/>
        <v>0.84171590568704457</v>
      </c>
      <c r="J21" s="47">
        <f t="shared" si="7"/>
        <v>0.85500502524178823</v>
      </c>
      <c r="K21" s="47">
        <f t="shared" si="7"/>
        <v>0.86850395513437495</v>
      </c>
      <c r="L21" s="47">
        <f t="shared" si="7"/>
        <v>0.88221600787754795</v>
      </c>
      <c r="M21" s="47">
        <f t="shared" si="8"/>
        <v>0.8961445482824294</v>
      </c>
      <c r="N21" s="47">
        <f t="shared" si="8"/>
        <v>0.91029299428421451</v>
      </c>
      <c r="O21" s="47">
        <f t="shared" si="8"/>
        <v>0.9246648177809017</v>
      </c>
      <c r="P21" s="47">
        <f t="shared" si="8"/>
        <v>0.9392635454852637</v>
      </c>
      <c r="Q21" s="47">
        <f t="shared" si="8"/>
        <v>0.95409275979027042</v>
      </c>
      <c r="R21" s="47">
        <f t="shared" si="8"/>
        <v>0.96915609964817517</v>
      </c>
      <c r="S21" s="47">
        <f t="shared" si="8"/>
        <v>0.98445726146348034</v>
      </c>
      <c r="T21" s="47">
        <f t="shared" si="8"/>
        <v>1</v>
      </c>
      <c r="U21" s="47">
        <f t="shared" si="8"/>
        <v>1.0157881293022453</v>
      </c>
      <c r="V21" s="47">
        <f t="shared" si="8"/>
        <v>1.0318255236313549</v>
      </c>
      <c r="W21" s="47">
        <f t="shared" si="9"/>
        <v>1.0481161184158037</v>
      </c>
      <c r="X21" s="47">
        <f t="shared" si="9"/>
        <v>1.0646639112171199</v>
      </c>
      <c r="Y21" s="47">
        <f t="shared" si="9"/>
        <v>1.0814729627108499</v>
      </c>
      <c r="Z21" s="47">
        <f t="shared" si="9"/>
        <v>1.0985473976830111</v>
      </c>
      <c r="AA21" s="47">
        <f t="shared" si="9"/>
        <v>1.1158914060422755</v>
      </c>
      <c r="AB21" s="47">
        <f t="shared" si="9"/>
        <v>1.1335092438481353</v>
      </c>
      <c r="AC21" s="47">
        <f t="shared" si="9"/>
        <v>1.1514052343553001</v>
      </c>
      <c r="AD21" s="47">
        <f t="shared" si="9"/>
        <v>1.1695837690745834</v>
      </c>
      <c r="AE21" s="47">
        <f t="shared" si="9"/>
        <v>1.1880493088505404</v>
      </c>
      <c r="AF21" s="47">
        <f t="shared" si="9"/>
        <v>1.2068063849561159</v>
      </c>
      <c r="AG21" s="47">
        <f t="shared" si="10"/>
        <v>1.2258596002045781</v>
      </c>
      <c r="AH21" s="47">
        <f t="shared" si="10"/>
        <v>1.2452136300790069</v>
      </c>
      <c r="AI21" s="47">
        <f t="shared" si="10"/>
        <v>1.2648732238796123</v>
      </c>
      <c r="AJ21" s="47">
        <f t="shared" si="10"/>
        <v>1.2848432058891714</v>
      </c>
      <c r="AK21" s="47">
        <f t="shared" si="10"/>
        <v>1.3051284765568609</v>
      </c>
      <c r="AL21" s="47">
        <f t="shared" si="10"/>
        <v>1.3257340137007831</v>
      </c>
      <c r="AM21" s="47">
        <f t="shared" si="10"/>
        <v>1.3466648737294755</v>
      </c>
      <c r="AN21" s="47">
        <f t="shared" si="10"/>
        <v>1.3679261928827084</v>
      </c>
      <c r="AO21" s="47">
        <f t="shared" si="10"/>
        <v>1.3895231884918688</v>
      </c>
      <c r="AP21" s="47">
        <f t="shared" si="10"/>
        <v>1.4114611602602465</v>
      </c>
      <c r="AQ21" s="47">
        <f t="shared" si="11"/>
        <v>1.4337454915635324</v>
      </c>
      <c r="AR21" s="47">
        <f t="shared" si="11"/>
        <v>1.4563816507708487</v>
      </c>
      <c r="AS21" s="47">
        <f t="shared" si="11"/>
        <v>1.4793751925866365</v>
      </c>
      <c r="AT21" s="47">
        <f t="shared" si="11"/>
        <v>1.5027317594137282</v>
      </c>
      <c r="AU21" s="47">
        <f t="shared" si="11"/>
        <v>1.5264570827379427</v>
      </c>
      <c r="AV21" s="47">
        <f t="shared" si="11"/>
        <v>1.5505569845345375</v>
      </c>
      <c r="AW21" s="47">
        <f t="shared" si="11"/>
        <v>1.5750373786968681</v>
      </c>
      <c r="AX21" s="47">
        <f t="shared" si="11"/>
        <v>1.599904272487604</v>
      </c>
      <c r="AY21" s="47">
        <f t="shared" si="11"/>
        <v>1.6251637680128528</v>
      </c>
      <c r="AZ21" s="47">
        <f t="shared" si="11"/>
        <v>1.6508220637195639</v>
      </c>
      <c r="BA21" s="47">
        <f t="shared" si="12"/>
        <v>1.6768854559165678</v>
      </c>
      <c r="BB21" s="47">
        <f t="shared" si="12"/>
        <v>1.7033603403196329</v>
      </c>
      <c r="BC21" s="47">
        <f t="shared" si="12"/>
        <v>1.7302532136209157</v>
      </c>
      <c r="BD21" s="47">
        <f t="shared" si="12"/>
        <v>1.7575706750831883</v>
      </c>
      <c r="BE21" s="47">
        <f t="shared" si="12"/>
        <v>1.7853194281592362</v>
      </c>
      <c r="BF21" s="47">
        <f t="shared" si="12"/>
        <v>1.8135062821368249</v>
      </c>
      <c r="BG21" s="47">
        <f t="shared" si="12"/>
        <v>1.8421381538096351</v>
      </c>
      <c r="BH21" s="47">
        <f t="shared" si="12"/>
        <v>1.8712220691745811</v>
      </c>
      <c r="BI21" s="47">
        <f t="shared" si="12"/>
        <v>1.9007651651559245</v>
      </c>
      <c r="BJ21" s="47">
        <f t="shared" si="12"/>
        <v>1.9307746913566095</v>
      </c>
      <c r="BK21" s="47">
        <f t="shared" si="13"/>
        <v>1.9612580118372507</v>
      </c>
      <c r="BL21" s="47">
        <f t="shared" si="13"/>
        <v>1.9922226069232016</v>
      </c>
      <c r="BM21" s="47">
        <f t="shared" si="13"/>
        <v>2.0236760750401612</v>
      </c>
      <c r="BN21" s="47">
        <f t="shared" si="13"/>
        <v>2.0556261345787559</v>
      </c>
      <c r="BO21" s="47">
        <f t="shared" si="13"/>
        <v>2.0880806257885594</v>
      </c>
      <c r="BP21" s="47">
        <f t="shared" si="13"/>
        <v>2.1210475127020225</v>
      </c>
      <c r="BQ21" s="47">
        <f t="shared" si="13"/>
        <v>2.1545348850887676</v>
      </c>
      <c r="BR21" s="47">
        <f t="shared" si="13"/>
        <v>2.1885509604407476</v>
      </c>
      <c r="BS21" s="47">
        <f t="shared" si="13"/>
        <v>2.2231040859887385</v>
      </c>
      <c r="BT21" s="47">
        <f t="shared" si="13"/>
        <v>2.2582027407506788</v>
      </c>
      <c r="BU21" s="47">
        <f t="shared" si="13"/>
        <v>2.2938555376123353</v>
      </c>
      <c r="BV21" s="47">
        <f t="shared" si="13"/>
        <v>2.3300712254408302</v>
      </c>
      <c r="BW21" s="47">
        <f t="shared" si="13"/>
        <v>2.3668586912315313</v>
      </c>
      <c r="BX21" s="47">
        <f t="shared" si="13"/>
        <v>2.4042269622888375</v>
      </c>
      <c r="BY21" s="47">
        <f t="shared" si="13"/>
        <v>2.4421852084413986</v>
      </c>
    </row>
    <row r="22" spans="1:77" x14ac:dyDescent="0.25">
      <c r="A22" s="118"/>
      <c r="B22" s="46">
        <v>2004</v>
      </c>
      <c r="C22" s="47">
        <f t="shared" si="7"/>
        <v>0.75429912008405253</v>
      </c>
      <c r="D22" s="47">
        <f t="shared" si="7"/>
        <v>0.76620809212450947</v>
      </c>
      <c r="E22" s="47">
        <f t="shared" si="7"/>
        <v>0.77830508455539782</v>
      </c>
      <c r="F22" s="47">
        <f t="shared" si="7"/>
        <v>0.79059306586695333</v>
      </c>
      <c r="G22" s="47">
        <f t="shared" si="7"/>
        <v>0.8030750514163193</v>
      </c>
      <c r="H22" s="47">
        <f t="shared" si="7"/>
        <v>0.8157541041674875</v>
      </c>
      <c r="I22" s="47">
        <f t="shared" si="7"/>
        <v>0.82863333544292095</v>
      </c>
      <c r="J22" s="47">
        <f t="shared" si="7"/>
        <v>0.84171590568704457</v>
      </c>
      <c r="K22" s="47">
        <f t="shared" si="7"/>
        <v>0.85500502524178823</v>
      </c>
      <c r="L22" s="47">
        <f t="shared" si="7"/>
        <v>0.86850395513437495</v>
      </c>
      <c r="M22" s="47">
        <f t="shared" si="8"/>
        <v>0.88221600787754795</v>
      </c>
      <c r="N22" s="47">
        <f t="shared" si="8"/>
        <v>0.8961445482824294</v>
      </c>
      <c r="O22" s="47">
        <f t="shared" si="8"/>
        <v>0.91029299428421451</v>
      </c>
      <c r="P22" s="47">
        <f t="shared" si="8"/>
        <v>0.9246648177809017</v>
      </c>
      <c r="Q22" s="47">
        <f t="shared" si="8"/>
        <v>0.9392635454852637</v>
      </c>
      <c r="R22" s="47">
        <f t="shared" si="8"/>
        <v>0.95409275979027042</v>
      </c>
      <c r="S22" s="47">
        <f t="shared" si="8"/>
        <v>0.96915609964817517</v>
      </c>
      <c r="T22" s="47">
        <f t="shared" si="8"/>
        <v>0.98445726146348034</v>
      </c>
      <c r="U22" s="47">
        <f t="shared" si="8"/>
        <v>1</v>
      </c>
      <c r="V22" s="47">
        <f t="shared" si="8"/>
        <v>1.0157881293022453</v>
      </c>
      <c r="W22" s="47">
        <f t="shared" si="9"/>
        <v>1.0318255236313549</v>
      </c>
      <c r="X22" s="47">
        <f t="shared" si="9"/>
        <v>1.0481161184158037</v>
      </c>
      <c r="Y22" s="47">
        <f t="shared" si="9"/>
        <v>1.0646639112171199</v>
      </c>
      <c r="Z22" s="47">
        <f t="shared" si="9"/>
        <v>1.0814729627108499</v>
      </c>
      <c r="AA22" s="47">
        <f t="shared" si="9"/>
        <v>1.0985473976830111</v>
      </c>
      <c r="AB22" s="47">
        <f t="shared" si="9"/>
        <v>1.1158914060422755</v>
      </c>
      <c r="AC22" s="47">
        <f t="shared" si="9"/>
        <v>1.1335092438481353</v>
      </c>
      <c r="AD22" s="47">
        <f t="shared" si="9"/>
        <v>1.1514052343553001</v>
      </c>
      <c r="AE22" s="47">
        <f t="shared" si="9"/>
        <v>1.1695837690745834</v>
      </c>
      <c r="AF22" s="47">
        <f t="shared" si="9"/>
        <v>1.1880493088505404</v>
      </c>
      <c r="AG22" s="47">
        <f t="shared" si="10"/>
        <v>1.2068063849561159</v>
      </c>
      <c r="AH22" s="47">
        <f t="shared" si="10"/>
        <v>1.2258596002045781</v>
      </c>
      <c r="AI22" s="47">
        <f t="shared" si="10"/>
        <v>1.2452136300790069</v>
      </c>
      <c r="AJ22" s="47">
        <f t="shared" si="10"/>
        <v>1.2648732238796123</v>
      </c>
      <c r="AK22" s="47">
        <f t="shared" si="10"/>
        <v>1.2848432058891714</v>
      </c>
      <c r="AL22" s="47">
        <f t="shared" si="10"/>
        <v>1.3051284765568609</v>
      </c>
      <c r="AM22" s="47">
        <f t="shared" si="10"/>
        <v>1.3257340137007831</v>
      </c>
      <c r="AN22" s="47">
        <f t="shared" si="10"/>
        <v>1.3466648737294755</v>
      </c>
      <c r="AO22" s="47">
        <f t="shared" si="10"/>
        <v>1.3679261928827084</v>
      </c>
      <c r="AP22" s="47">
        <f t="shared" si="10"/>
        <v>1.3895231884918688</v>
      </c>
      <c r="AQ22" s="47">
        <f t="shared" si="11"/>
        <v>1.4114611602602465</v>
      </c>
      <c r="AR22" s="47">
        <f t="shared" si="11"/>
        <v>1.4337454915635324</v>
      </c>
      <c r="AS22" s="47">
        <f t="shared" si="11"/>
        <v>1.4563816507708487</v>
      </c>
      <c r="AT22" s="47">
        <f t="shared" si="11"/>
        <v>1.4793751925866365</v>
      </c>
      <c r="AU22" s="47">
        <f t="shared" si="11"/>
        <v>1.5027317594137282</v>
      </c>
      <c r="AV22" s="47">
        <f t="shared" si="11"/>
        <v>1.5264570827379427</v>
      </c>
      <c r="AW22" s="47">
        <f t="shared" si="11"/>
        <v>1.5505569845345375</v>
      </c>
      <c r="AX22" s="47">
        <f t="shared" si="11"/>
        <v>1.5750373786968681</v>
      </c>
      <c r="AY22" s="47">
        <f t="shared" si="11"/>
        <v>1.599904272487604</v>
      </c>
      <c r="AZ22" s="47">
        <f t="shared" si="11"/>
        <v>1.6251637680128528</v>
      </c>
      <c r="BA22" s="47">
        <f t="shared" si="12"/>
        <v>1.6508220637195639</v>
      </c>
      <c r="BB22" s="47">
        <f t="shared" si="12"/>
        <v>1.6768854559165678</v>
      </c>
      <c r="BC22" s="47">
        <f t="shared" si="12"/>
        <v>1.7033603403196329</v>
      </c>
      <c r="BD22" s="47">
        <f t="shared" si="12"/>
        <v>1.7302532136209157</v>
      </c>
      <c r="BE22" s="47">
        <f t="shared" si="12"/>
        <v>1.7575706750831883</v>
      </c>
      <c r="BF22" s="47">
        <f t="shared" si="12"/>
        <v>1.7853194281592362</v>
      </c>
      <c r="BG22" s="47">
        <f t="shared" si="12"/>
        <v>1.8135062821368249</v>
      </c>
      <c r="BH22" s="47">
        <f t="shared" si="12"/>
        <v>1.8421381538096351</v>
      </c>
      <c r="BI22" s="47">
        <f t="shared" si="12"/>
        <v>1.8712220691745811</v>
      </c>
      <c r="BJ22" s="47">
        <f t="shared" si="12"/>
        <v>1.9007651651559245</v>
      </c>
      <c r="BK22" s="47">
        <f t="shared" si="13"/>
        <v>1.9307746913566095</v>
      </c>
      <c r="BL22" s="47">
        <f t="shared" si="13"/>
        <v>1.9612580118372507</v>
      </c>
      <c r="BM22" s="47">
        <f t="shared" si="13"/>
        <v>1.9922226069232016</v>
      </c>
      <c r="BN22" s="47">
        <f t="shared" si="13"/>
        <v>2.0236760750401612</v>
      </c>
      <c r="BO22" s="47">
        <f t="shared" si="13"/>
        <v>2.0556261345787559</v>
      </c>
      <c r="BP22" s="47">
        <f t="shared" si="13"/>
        <v>2.0880806257885594</v>
      </c>
      <c r="BQ22" s="47">
        <f t="shared" si="13"/>
        <v>2.1210475127020225</v>
      </c>
      <c r="BR22" s="47">
        <f t="shared" si="13"/>
        <v>2.1545348850887676</v>
      </c>
      <c r="BS22" s="47">
        <f t="shared" si="13"/>
        <v>2.1885509604407476</v>
      </c>
      <c r="BT22" s="47">
        <f t="shared" si="13"/>
        <v>2.2231040859887385</v>
      </c>
      <c r="BU22" s="47">
        <f t="shared" si="13"/>
        <v>2.2582027407506788</v>
      </c>
      <c r="BV22" s="47">
        <f t="shared" si="13"/>
        <v>2.2938555376123353</v>
      </c>
      <c r="BW22" s="47">
        <f t="shared" si="13"/>
        <v>2.3300712254408302</v>
      </c>
      <c r="BX22" s="47">
        <f t="shared" si="13"/>
        <v>2.3668586912315313</v>
      </c>
      <c r="BY22" s="47">
        <f t="shared" si="13"/>
        <v>2.4042269622888375</v>
      </c>
    </row>
    <row r="23" spans="1:77" x14ac:dyDescent="0.25">
      <c r="A23" s="118"/>
      <c r="B23" s="46">
        <v>2005</v>
      </c>
      <c r="C23" s="47">
        <f t="shared" si="7"/>
        <v>0.74257524608225933</v>
      </c>
      <c r="D23" s="47">
        <f t="shared" si="7"/>
        <v>0.75429912008405253</v>
      </c>
      <c r="E23" s="47">
        <f t="shared" si="7"/>
        <v>0.76620809212450947</v>
      </c>
      <c r="F23" s="47">
        <f t="shared" si="7"/>
        <v>0.77830508455539782</v>
      </c>
      <c r="G23" s="47">
        <f t="shared" si="7"/>
        <v>0.79059306586695333</v>
      </c>
      <c r="H23" s="47">
        <f t="shared" si="7"/>
        <v>0.8030750514163193</v>
      </c>
      <c r="I23" s="47">
        <f t="shared" si="7"/>
        <v>0.8157541041674875</v>
      </c>
      <c r="J23" s="47">
        <f t="shared" si="7"/>
        <v>0.82863333544292095</v>
      </c>
      <c r="K23" s="47">
        <f t="shared" si="7"/>
        <v>0.84171590568704457</v>
      </c>
      <c r="L23" s="47">
        <f t="shared" si="7"/>
        <v>0.85500502524178823</v>
      </c>
      <c r="M23" s="47">
        <f t="shared" si="8"/>
        <v>0.86850395513437495</v>
      </c>
      <c r="N23" s="47">
        <f t="shared" si="8"/>
        <v>0.88221600787754795</v>
      </c>
      <c r="O23" s="47">
        <f t="shared" si="8"/>
        <v>0.8961445482824294</v>
      </c>
      <c r="P23" s="47">
        <f t="shared" si="8"/>
        <v>0.91029299428421451</v>
      </c>
      <c r="Q23" s="47">
        <f t="shared" si="8"/>
        <v>0.9246648177809017</v>
      </c>
      <c r="R23" s="47">
        <f t="shared" si="8"/>
        <v>0.9392635454852637</v>
      </c>
      <c r="S23" s="47">
        <f t="shared" si="8"/>
        <v>0.95409275979027042</v>
      </c>
      <c r="T23" s="47">
        <f t="shared" si="8"/>
        <v>0.96915609964817517</v>
      </c>
      <c r="U23" s="47">
        <f t="shared" si="8"/>
        <v>0.98445726146348034</v>
      </c>
      <c r="V23" s="47">
        <f t="shared" si="8"/>
        <v>1</v>
      </c>
      <c r="W23" s="47">
        <f t="shared" si="9"/>
        <v>1.0157881293022453</v>
      </c>
      <c r="X23" s="47">
        <f t="shared" si="9"/>
        <v>1.0318255236313549</v>
      </c>
      <c r="Y23" s="47">
        <f t="shared" si="9"/>
        <v>1.0481161184158037</v>
      </c>
      <c r="Z23" s="47">
        <f t="shared" si="9"/>
        <v>1.0646639112171199</v>
      </c>
      <c r="AA23" s="47">
        <f t="shared" si="9"/>
        <v>1.0814729627108499</v>
      </c>
      <c r="AB23" s="47">
        <f t="shared" si="9"/>
        <v>1.0985473976830111</v>
      </c>
      <c r="AC23" s="47">
        <f t="shared" si="9"/>
        <v>1.1158914060422755</v>
      </c>
      <c r="AD23" s="47">
        <f t="shared" si="9"/>
        <v>1.1335092438481353</v>
      </c>
      <c r="AE23" s="47">
        <f t="shared" si="9"/>
        <v>1.1514052343553001</v>
      </c>
      <c r="AF23" s="47">
        <f t="shared" si="9"/>
        <v>1.1695837690745834</v>
      </c>
      <c r="AG23" s="47">
        <f t="shared" si="10"/>
        <v>1.1880493088505404</v>
      </c>
      <c r="AH23" s="47">
        <f t="shared" si="10"/>
        <v>1.2068063849561159</v>
      </c>
      <c r="AI23" s="47">
        <f t="shared" si="10"/>
        <v>1.2258596002045781</v>
      </c>
      <c r="AJ23" s="47">
        <f t="shared" si="10"/>
        <v>1.2452136300790069</v>
      </c>
      <c r="AK23" s="47">
        <f t="shared" si="10"/>
        <v>1.2648732238796123</v>
      </c>
      <c r="AL23" s="47">
        <f t="shared" si="10"/>
        <v>1.2848432058891714</v>
      </c>
      <c r="AM23" s="47">
        <f t="shared" si="10"/>
        <v>1.3051284765568609</v>
      </c>
      <c r="AN23" s="47">
        <f t="shared" si="10"/>
        <v>1.3257340137007831</v>
      </c>
      <c r="AO23" s="47">
        <f t="shared" si="10"/>
        <v>1.3466648737294755</v>
      </c>
      <c r="AP23" s="47">
        <f t="shared" si="10"/>
        <v>1.3679261928827084</v>
      </c>
      <c r="AQ23" s="47">
        <f t="shared" si="11"/>
        <v>1.3895231884918688</v>
      </c>
      <c r="AR23" s="47">
        <f t="shared" si="11"/>
        <v>1.4114611602602465</v>
      </c>
      <c r="AS23" s="47">
        <f t="shared" si="11"/>
        <v>1.4337454915635324</v>
      </c>
      <c r="AT23" s="47">
        <f t="shared" si="11"/>
        <v>1.4563816507708487</v>
      </c>
      <c r="AU23" s="47">
        <f t="shared" si="11"/>
        <v>1.4793751925866365</v>
      </c>
      <c r="AV23" s="47">
        <f t="shared" si="11"/>
        <v>1.5027317594137282</v>
      </c>
      <c r="AW23" s="47">
        <f t="shared" si="11"/>
        <v>1.5264570827379427</v>
      </c>
      <c r="AX23" s="47">
        <f t="shared" si="11"/>
        <v>1.5505569845345375</v>
      </c>
      <c r="AY23" s="47">
        <f t="shared" si="11"/>
        <v>1.5750373786968681</v>
      </c>
      <c r="AZ23" s="47">
        <f t="shared" si="11"/>
        <v>1.599904272487604</v>
      </c>
      <c r="BA23" s="47">
        <f t="shared" si="12"/>
        <v>1.6251637680128528</v>
      </c>
      <c r="BB23" s="47">
        <f t="shared" si="12"/>
        <v>1.6508220637195639</v>
      </c>
      <c r="BC23" s="47">
        <f t="shared" si="12"/>
        <v>1.6768854559165678</v>
      </c>
      <c r="BD23" s="47">
        <f t="shared" si="12"/>
        <v>1.7033603403196329</v>
      </c>
      <c r="BE23" s="47">
        <f t="shared" si="12"/>
        <v>1.7302532136209157</v>
      </c>
      <c r="BF23" s="47">
        <f t="shared" si="12"/>
        <v>1.7575706750831883</v>
      </c>
      <c r="BG23" s="47">
        <f t="shared" si="12"/>
        <v>1.7853194281592362</v>
      </c>
      <c r="BH23" s="47">
        <f t="shared" si="12"/>
        <v>1.8135062821368249</v>
      </c>
      <c r="BI23" s="47">
        <f t="shared" si="12"/>
        <v>1.8421381538096351</v>
      </c>
      <c r="BJ23" s="47">
        <f t="shared" si="12"/>
        <v>1.8712220691745811</v>
      </c>
      <c r="BK23" s="47">
        <f t="shared" si="13"/>
        <v>1.9007651651559245</v>
      </c>
      <c r="BL23" s="47">
        <f t="shared" si="13"/>
        <v>1.9307746913566095</v>
      </c>
      <c r="BM23" s="47">
        <f t="shared" si="13"/>
        <v>1.9612580118372507</v>
      </c>
      <c r="BN23" s="47">
        <f t="shared" si="13"/>
        <v>1.9922226069232016</v>
      </c>
      <c r="BO23" s="47">
        <f t="shared" si="13"/>
        <v>2.0236760750401612</v>
      </c>
      <c r="BP23" s="47">
        <f t="shared" si="13"/>
        <v>2.0556261345787559</v>
      </c>
      <c r="BQ23" s="47">
        <f t="shared" si="13"/>
        <v>2.0880806257885594</v>
      </c>
      <c r="BR23" s="47">
        <f t="shared" si="13"/>
        <v>2.1210475127020225</v>
      </c>
      <c r="BS23" s="47">
        <f t="shared" si="13"/>
        <v>2.1545348850887676</v>
      </c>
      <c r="BT23" s="47">
        <f t="shared" si="13"/>
        <v>2.1885509604407476</v>
      </c>
      <c r="BU23" s="47">
        <f t="shared" si="13"/>
        <v>2.2231040859887385</v>
      </c>
      <c r="BV23" s="47">
        <f t="shared" si="13"/>
        <v>2.2582027407506788</v>
      </c>
      <c r="BW23" s="47">
        <f t="shared" si="13"/>
        <v>2.2938555376123353</v>
      </c>
      <c r="BX23" s="47">
        <f t="shared" si="13"/>
        <v>2.3300712254408302</v>
      </c>
      <c r="BY23" s="47">
        <f t="shared" si="13"/>
        <v>2.3668586912315313</v>
      </c>
    </row>
    <row r="24" spans="1:77" x14ac:dyDescent="0.25">
      <c r="A24" s="118"/>
      <c r="B24" s="46">
        <v>2006</v>
      </c>
      <c r="C24" s="47">
        <f t="shared" ref="C24:L33" si="14">(1+$F$1)^(C$3-$B24)</f>
        <v>0.73103359318871097</v>
      </c>
      <c r="D24" s="47">
        <f t="shared" si="14"/>
        <v>0.74257524608225933</v>
      </c>
      <c r="E24" s="47">
        <f t="shared" si="14"/>
        <v>0.75429912008405253</v>
      </c>
      <c r="F24" s="47">
        <f t="shared" si="14"/>
        <v>0.76620809212450947</v>
      </c>
      <c r="G24" s="47">
        <f t="shared" si="14"/>
        <v>0.77830508455539782</v>
      </c>
      <c r="H24" s="47">
        <f t="shared" si="14"/>
        <v>0.79059306586695333</v>
      </c>
      <c r="I24" s="47">
        <f t="shared" si="14"/>
        <v>0.8030750514163193</v>
      </c>
      <c r="J24" s="47">
        <f t="shared" si="14"/>
        <v>0.8157541041674875</v>
      </c>
      <c r="K24" s="47">
        <f t="shared" si="14"/>
        <v>0.82863333544292095</v>
      </c>
      <c r="L24" s="47">
        <f t="shared" si="14"/>
        <v>0.84171590568704457</v>
      </c>
      <c r="M24" s="47">
        <f t="shared" ref="M24:V33" si="15">(1+$F$1)^(M$3-$B24)</f>
        <v>0.85500502524178823</v>
      </c>
      <c r="N24" s="47">
        <f t="shared" si="15"/>
        <v>0.86850395513437495</v>
      </c>
      <c r="O24" s="47">
        <f t="shared" si="15"/>
        <v>0.88221600787754795</v>
      </c>
      <c r="P24" s="47">
        <f t="shared" si="15"/>
        <v>0.8961445482824294</v>
      </c>
      <c r="Q24" s="47">
        <f t="shared" si="15"/>
        <v>0.91029299428421451</v>
      </c>
      <c r="R24" s="47">
        <f t="shared" si="15"/>
        <v>0.9246648177809017</v>
      </c>
      <c r="S24" s="47">
        <f t="shared" si="15"/>
        <v>0.9392635454852637</v>
      </c>
      <c r="T24" s="47">
        <f t="shared" si="15"/>
        <v>0.95409275979027042</v>
      </c>
      <c r="U24" s="47">
        <f t="shared" si="15"/>
        <v>0.96915609964817517</v>
      </c>
      <c r="V24" s="47">
        <f t="shared" si="15"/>
        <v>0.98445726146348034</v>
      </c>
      <c r="W24" s="47">
        <f t="shared" ref="W24:AF33" si="16">(1+$F$1)^(W$3-$B24)</f>
        <v>1</v>
      </c>
      <c r="X24" s="47">
        <f t="shared" si="16"/>
        <v>1.0157881293022453</v>
      </c>
      <c r="Y24" s="47">
        <f t="shared" si="16"/>
        <v>1.0318255236313549</v>
      </c>
      <c r="Z24" s="47">
        <f t="shared" si="16"/>
        <v>1.0481161184158037</v>
      </c>
      <c r="AA24" s="47">
        <f t="shared" si="16"/>
        <v>1.0646639112171199</v>
      </c>
      <c r="AB24" s="47">
        <f t="shared" si="16"/>
        <v>1.0814729627108499</v>
      </c>
      <c r="AC24" s="47">
        <f t="shared" si="16"/>
        <v>1.0985473976830111</v>
      </c>
      <c r="AD24" s="47">
        <f t="shared" si="16"/>
        <v>1.1158914060422755</v>
      </c>
      <c r="AE24" s="47">
        <f t="shared" si="16"/>
        <v>1.1335092438481353</v>
      </c>
      <c r="AF24" s="47">
        <f t="shared" si="16"/>
        <v>1.1514052343553001</v>
      </c>
      <c r="AG24" s="47">
        <f t="shared" ref="AG24:AP33" si="17">(1+$F$1)^(AG$3-$B24)</f>
        <v>1.1695837690745834</v>
      </c>
      <c r="AH24" s="47">
        <f t="shared" si="17"/>
        <v>1.1880493088505404</v>
      </c>
      <c r="AI24" s="47">
        <f t="shared" si="17"/>
        <v>1.2068063849561159</v>
      </c>
      <c r="AJ24" s="47">
        <f t="shared" si="17"/>
        <v>1.2258596002045781</v>
      </c>
      <c r="AK24" s="47">
        <f t="shared" si="17"/>
        <v>1.2452136300790069</v>
      </c>
      <c r="AL24" s="47">
        <f t="shared" si="17"/>
        <v>1.2648732238796123</v>
      </c>
      <c r="AM24" s="47">
        <f t="shared" si="17"/>
        <v>1.2848432058891714</v>
      </c>
      <c r="AN24" s="47">
        <f t="shared" si="17"/>
        <v>1.3051284765568609</v>
      </c>
      <c r="AO24" s="47">
        <f t="shared" si="17"/>
        <v>1.3257340137007831</v>
      </c>
      <c r="AP24" s="47">
        <f t="shared" si="17"/>
        <v>1.3466648737294755</v>
      </c>
      <c r="AQ24" s="47">
        <f t="shared" ref="AQ24:AZ33" si="18">(1+$F$1)^(AQ$3-$B24)</f>
        <v>1.3679261928827084</v>
      </c>
      <c r="AR24" s="47">
        <f t="shared" si="18"/>
        <v>1.3895231884918688</v>
      </c>
      <c r="AS24" s="47">
        <f t="shared" si="18"/>
        <v>1.4114611602602465</v>
      </c>
      <c r="AT24" s="47">
        <f t="shared" si="18"/>
        <v>1.4337454915635324</v>
      </c>
      <c r="AU24" s="47">
        <f t="shared" si="18"/>
        <v>1.4563816507708487</v>
      </c>
      <c r="AV24" s="47">
        <f t="shared" si="18"/>
        <v>1.4793751925866365</v>
      </c>
      <c r="AW24" s="47">
        <f t="shared" si="18"/>
        <v>1.5027317594137282</v>
      </c>
      <c r="AX24" s="47">
        <f t="shared" si="18"/>
        <v>1.5264570827379427</v>
      </c>
      <c r="AY24" s="47">
        <f t="shared" si="18"/>
        <v>1.5505569845345375</v>
      </c>
      <c r="AZ24" s="47">
        <f t="shared" si="18"/>
        <v>1.5750373786968681</v>
      </c>
      <c r="BA24" s="47">
        <f t="shared" ref="BA24:BJ33" si="19">(1+$F$1)^(BA$3-$B24)</f>
        <v>1.599904272487604</v>
      </c>
      <c r="BB24" s="47">
        <f t="shared" si="19"/>
        <v>1.6251637680128528</v>
      </c>
      <c r="BC24" s="47">
        <f t="shared" si="19"/>
        <v>1.6508220637195639</v>
      </c>
      <c r="BD24" s="47">
        <f t="shared" si="19"/>
        <v>1.6768854559165678</v>
      </c>
      <c r="BE24" s="47">
        <f t="shared" si="19"/>
        <v>1.7033603403196329</v>
      </c>
      <c r="BF24" s="47">
        <f t="shared" si="19"/>
        <v>1.7302532136209157</v>
      </c>
      <c r="BG24" s="47">
        <f t="shared" si="19"/>
        <v>1.7575706750831883</v>
      </c>
      <c r="BH24" s="47">
        <f t="shared" si="19"/>
        <v>1.7853194281592362</v>
      </c>
      <c r="BI24" s="47">
        <f t="shared" si="19"/>
        <v>1.8135062821368249</v>
      </c>
      <c r="BJ24" s="47">
        <f t="shared" si="19"/>
        <v>1.8421381538096351</v>
      </c>
      <c r="BK24" s="47">
        <f t="shared" ref="BK24:BY33" si="20">(1+$F$1)^(BK$3-$B24)</f>
        <v>1.8712220691745811</v>
      </c>
      <c r="BL24" s="47">
        <f t="shared" si="20"/>
        <v>1.9007651651559245</v>
      </c>
      <c r="BM24" s="47">
        <f t="shared" si="20"/>
        <v>1.9307746913566095</v>
      </c>
      <c r="BN24" s="47">
        <f t="shared" si="20"/>
        <v>1.9612580118372507</v>
      </c>
      <c r="BO24" s="47">
        <f t="shared" si="20"/>
        <v>1.9922226069232016</v>
      </c>
      <c r="BP24" s="47">
        <f t="shared" si="20"/>
        <v>2.0236760750401612</v>
      </c>
      <c r="BQ24" s="47">
        <f t="shared" si="20"/>
        <v>2.0556261345787559</v>
      </c>
      <c r="BR24" s="47">
        <f t="shared" si="20"/>
        <v>2.0880806257885594</v>
      </c>
      <c r="BS24" s="47">
        <f t="shared" si="20"/>
        <v>2.1210475127020225</v>
      </c>
      <c r="BT24" s="47">
        <f t="shared" si="20"/>
        <v>2.1545348850887676</v>
      </c>
      <c r="BU24" s="47">
        <f t="shared" si="20"/>
        <v>2.1885509604407476</v>
      </c>
      <c r="BV24" s="47">
        <f t="shared" si="20"/>
        <v>2.2231040859887385</v>
      </c>
      <c r="BW24" s="47">
        <f t="shared" si="20"/>
        <v>2.2582027407506788</v>
      </c>
      <c r="BX24" s="47">
        <f t="shared" si="20"/>
        <v>2.2938555376123353</v>
      </c>
      <c r="BY24" s="47">
        <f t="shared" si="20"/>
        <v>2.3300712254408302</v>
      </c>
    </row>
    <row r="25" spans="1:77" x14ac:dyDescent="0.25">
      <c r="A25" s="118"/>
      <c r="B25" s="46">
        <v>2007</v>
      </c>
      <c r="C25" s="47">
        <f t="shared" si="14"/>
        <v>0.71967132918836618</v>
      </c>
      <c r="D25" s="47">
        <f t="shared" si="14"/>
        <v>0.73103359318871097</v>
      </c>
      <c r="E25" s="47">
        <f t="shared" si="14"/>
        <v>0.74257524608225933</v>
      </c>
      <c r="F25" s="47">
        <f t="shared" si="14"/>
        <v>0.75429912008405253</v>
      </c>
      <c r="G25" s="47">
        <f t="shared" si="14"/>
        <v>0.76620809212450947</v>
      </c>
      <c r="H25" s="47">
        <f t="shared" si="14"/>
        <v>0.77830508455539782</v>
      </c>
      <c r="I25" s="47">
        <f t="shared" si="14"/>
        <v>0.79059306586695333</v>
      </c>
      <c r="J25" s="47">
        <f t="shared" si="14"/>
        <v>0.8030750514163193</v>
      </c>
      <c r="K25" s="47">
        <f t="shared" si="14"/>
        <v>0.8157541041674875</v>
      </c>
      <c r="L25" s="47">
        <f t="shared" si="14"/>
        <v>0.82863333544292095</v>
      </c>
      <c r="M25" s="47">
        <f t="shared" si="15"/>
        <v>0.84171590568704457</v>
      </c>
      <c r="N25" s="47">
        <f t="shared" si="15"/>
        <v>0.85500502524178823</v>
      </c>
      <c r="O25" s="47">
        <f t="shared" si="15"/>
        <v>0.86850395513437495</v>
      </c>
      <c r="P25" s="47">
        <f t="shared" si="15"/>
        <v>0.88221600787754795</v>
      </c>
      <c r="Q25" s="47">
        <f t="shared" si="15"/>
        <v>0.8961445482824294</v>
      </c>
      <c r="R25" s="47">
        <f t="shared" si="15"/>
        <v>0.91029299428421451</v>
      </c>
      <c r="S25" s="47">
        <f t="shared" si="15"/>
        <v>0.9246648177809017</v>
      </c>
      <c r="T25" s="47">
        <f t="shared" si="15"/>
        <v>0.9392635454852637</v>
      </c>
      <c r="U25" s="47">
        <f t="shared" si="15"/>
        <v>0.95409275979027042</v>
      </c>
      <c r="V25" s="47">
        <f t="shared" si="15"/>
        <v>0.96915609964817517</v>
      </c>
      <c r="W25" s="47">
        <f t="shared" si="16"/>
        <v>0.98445726146348034</v>
      </c>
      <c r="X25" s="47">
        <f t="shared" si="16"/>
        <v>1</v>
      </c>
      <c r="Y25" s="47">
        <f t="shared" si="16"/>
        <v>1.0157881293022453</v>
      </c>
      <c r="Z25" s="47">
        <f t="shared" si="16"/>
        <v>1.0318255236313549</v>
      </c>
      <c r="AA25" s="47">
        <f t="shared" si="16"/>
        <v>1.0481161184158037</v>
      </c>
      <c r="AB25" s="47">
        <f t="shared" si="16"/>
        <v>1.0646639112171199</v>
      </c>
      <c r="AC25" s="47">
        <f t="shared" si="16"/>
        <v>1.0814729627108499</v>
      </c>
      <c r="AD25" s="47">
        <f t="shared" si="16"/>
        <v>1.0985473976830111</v>
      </c>
      <c r="AE25" s="47">
        <f t="shared" si="16"/>
        <v>1.1158914060422755</v>
      </c>
      <c r="AF25" s="47">
        <f t="shared" si="16"/>
        <v>1.1335092438481353</v>
      </c>
      <c r="AG25" s="47">
        <f t="shared" si="17"/>
        <v>1.1514052343553001</v>
      </c>
      <c r="AH25" s="47">
        <f t="shared" si="17"/>
        <v>1.1695837690745834</v>
      </c>
      <c r="AI25" s="47">
        <f t="shared" si="17"/>
        <v>1.1880493088505404</v>
      </c>
      <c r="AJ25" s="47">
        <f t="shared" si="17"/>
        <v>1.2068063849561159</v>
      </c>
      <c r="AK25" s="47">
        <f t="shared" si="17"/>
        <v>1.2258596002045781</v>
      </c>
      <c r="AL25" s="47">
        <f t="shared" si="17"/>
        <v>1.2452136300790069</v>
      </c>
      <c r="AM25" s="47">
        <f t="shared" si="17"/>
        <v>1.2648732238796123</v>
      </c>
      <c r="AN25" s="47">
        <f t="shared" si="17"/>
        <v>1.2848432058891714</v>
      </c>
      <c r="AO25" s="47">
        <f t="shared" si="17"/>
        <v>1.3051284765568609</v>
      </c>
      <c r="AP25" s="47">
        <f t="shared" si="17"/>
        <v>1.3257340137007831</v>
      </c>
      <c r="AQ25" s="47">
        <f t="shared" si="18"/>
        <v>1.3466648737294755</v>
      </c>
      <c r="AR25" s="47">
        <f t="shared" si="18"/>
        <v>1.3679261928827084</v>
      </c>
      <c r="AS25" s="47">
        <f t="shared" si="18"/>
        <v>1.3895231884918688</v>
      </c>
      <c r="AT25" s="47">
        <f t="shared" si="18"/>
        <v>1.4114611602602465</v>
      </c>
      <c r="AU25" s="47">
        <f t="shared" si="18"/>
        <v>1.4337454915635324</v>
      </c>
      <c r="AV25" s="47">
        <f t="shared" si="18"/>
        <v>1.4563816507708487</v>
      </c>
      <c r="AW25" s="47">
        <f t="shared" si="18"/>
        <v>1.4793751925866365</v>
      </c>
      <c r="AX25" s="47">
        <f t="shared" si="18"/>
        <v>1.5027317594137282</v>
      </c>
      <c r="AY25" s="47">
        <f t="shared" si="18"/>
        <v>1.5264570827379427</v>
      </c>
      <c r="AZ25" s="47">
        <f t="shared" si="18"/>
        <v>1.5505569845345375</v>
      </c>
      <c r="BA25" s="47">
        <f t="shared" si="19"/>
        <v>1.5750373786968681</v>
      </c>
      <c r="BB25" s="47">
        <f t="shared" si="19"/>
        <v>1.599904272487604</v>
      </c>
      <c r="BC25" s="47">
        <f t="shared" si="19"/>
        <v>1.6251637680128528</v>
      </c>
      <c r="BD25" s="47">
        <f t="shared" si="19"/>
        <v>1.6508220637195639</v>
      </c>
      <c r="BE25" s="47">
        <f t="shared" si="19"/>
        <v>1.6768854559165678</v>
      </c>
      <c r="BF25" s="47">
        <f t="shared" si="19"/>
        <v>1.7033603403196329</v>
      </c>
      <c r="BG25" s="47">
        <f t="shared" si="19"/>
        <v>1.7302532136209157</v>
      </c>
      <c r="BH25" s="47">
        <f t="shared" si="19"/>
        <v>1.7575706750831883</v>
      </c>
      <c r="BI25" s="47">
        <f t="shared" si="19"/>
        <v>1.7853194281592362</v>
      </c>
      <c r="BJ25" s="47">
        <f t="shared" si="19"/>
        <v>1.8135062821368249</v>
      </c>
      <c r="BK25" s="47">
        <f t="shared" si="20"/>
        <v>1.8421381538096351</v>
      </c>
      <c r="BL25" s="47">
        <f t="shared" si="20"/>
        <v>1.8712220691745811</v>
      </c>
      <c r="BM25" s="47">
        <f t="shared" si="20"/>
        <v>1.9007651651559245</v>
      </c>
      <c r="BN25" s="47">
        <f t="shared" si="20"/>
        <v>1.9307746913566095</v>
      </c>
      <c r="BO25" s="47">
        <f t="shared" si="20"/>
        <v>1.9612580118372507</v>
      </c>
      <c r="BP25" s="47">
        <f t="shared" si="20"/>
        <v>1.9922226069232016</v>
      </c>
      <c r="BQ25" s="47">
        <f t="shared" si="20"/>
        <v>2.0236760750401612</v>
      </c>
      <c r="BR25" s="47">
        <f t="shared" si="20"/>
        <v>2.0556261345787559</v>
      </c>
      <c r="BS25" s="47">
        <f t="shared" si="20"/>
        <v>2.0880806257885594</v>
      </c>
      <c r="BT25" s="47">
        <f t="shared" si="20"/>
        <v>2.1210475127020225</v>
      </c>
      <c r="BU25" s="47">
        <f t="shared" si="20"/>
        <v>2.1545348850887676</v>
      </c>
      <c r="BV25" s="47">
        <f t="shared" si="20"/>
        <v>2.1885509604407476</v>
      </c>
      <c r="BW25" s="47">
        <f t="shared" si="20"/>
        <v>2.2231040859887385</v>
      </c>
      <c r="BX25" s="47">
        <f t="shared" si="20"/>
        <v>2.2582027407506788</v>
      </c>
      <c r="BY25" s="47">
        <f t="shared" si="20"/>
        <v>2.2938555376123353</v>
      </c>
    </row>
    <row r="26" spans="1:77" x14ac:dyDescent="0.25">
      <c r="A26" s="118"/>
      <c r="B26" s="46">
        <v>2008</v>
      </c>
      <c r="C26" s="47">
        <f t="shared" si="14"/>
        <v>0.70848566588656192</v>
      </c>
      <c r="D26" s="47">
        <f t="shared" si="14"/>
        <v>0.71967132918836618</v>
      </c>
      <c r="E26" s="47">
        <f t="shared" si="14"/>
        <v>0.73103359318871097</v>
      </c>
      <c r="F26" s="47">
        <f t="shared" si="14"/>
        <v>0.74257524608225933</v>
      </c>
      <c r="G26" s="47">
        <f t="shared" si="14"/>
        <v>0.75429912008405253</v>
      </c>
      <c r="H26" s="47">
        <f t="shared" si="14"/>
        <v>0.76620809212450947</v>
      </c>
      <c r="I26" s="47">
        <f t="shared" si="14"/>
        <v>0.77830508455539782</v>
      </c>
      <c r="J26" s="47">
        <f t="shared" si="14"/>
        <v>0.79059306586695333</v>
      </c>
      <c r="K26" s="47">
        <f t="shared" si="14"/>
        <v>0.8030750514163193</v>
      </c>
      <c r="L26" s="47">
        <f t="shared" si="14"/>
        <v>0.8157541041674875</v>
      </c>
      <c r="M26" s="47">
        <f t="shared" si="15"/>
        <v>0.82863333544292095</v>
      </c>
      <c r="N26" s="47">
        <f t="shared" si="15"/>
        <v>0.84171590568704457</v>
      </c>
      <c r="O26" s="47">
        <f t="shared" si="15"/>
        <v>0.85500502524178823</v>
      </c>
      <c r="P26" s="47">
        <f t="shared" si="15"/>
        <v>0.86850395513437495</v>
      </c>
      <c r="Q26" s="47">
        <f t="shared" si="15"/>
        <v>0.88221600787754795</v>
      </c>
      <c r="R26" s="47">
        <f t="shared" si="15"/>
        <v>0.8961445482824294</v>
      </c>
      <c r="S26" s="47">
        <f t="shared" si="15"/>
        <v>0.91029299428421451</v>
      </c>
      <c r="T26" s="47">
        <f t="shared" si="15"/>
        <v>0.9246648177809017</v>
      </c>
      <c r="U26" s="47">
        <f t="shared" si="15"/>
        <v>0.9392635454852637</v>
      </c>
      <c r="V26" s="47">
        <f t="shared" si="15"/>
        <v>0.95409275979027042</v>
      </c>
      <c r="W26" s="47">
        <f t="shared" si="16"/>
        <v>0.96915609964817517</v>
      </c>
      <c r="X26" s="47">
        <f t="shared" si="16"/>
        <v>0.98445726146348034</v>
      </c>
      <c r="Y26" s="47">
        <f t="shared" si="16"/>
        <v>1</v>
      </c>
      <c r="Z26" s="47">
        <f t="shared" si="16"/>
        <v>1.0157881293022453</v>
      </c>
      <c r="AA26" s="47">
        <f t="shared" si="16"/>
        <v>1.0318255236313549</v>
      </c>
      <c r="AB26" s="47">
        <f t="shared" si="16"/>
        <v>1.0481161184158037</v>
      </c>
      <c r="AC26" s="47">
        <f t="shared" si="16"/>
        <v>1.0646639112171199</v>
      </c>
      <c r="AD26" s="47">
        <f t="shared" si="16"/>
        <v>1.0814729627108499</v>
      </c>
      <c r="AE26" s="47">
        <f t="shared" si="16"/>
        <v>1.0985473976830111</v>
      </c>
      <c r="AF26" s="47">
        <f t="shared" si="16"/>
        <v>1.1158914060422755</v>
      </c>
      <c r="AG26" s="47">
        <f t="shared" si="17"/>
        <v>1.1335092438481353</v>
      </c>
      <c r="AH26" s="47">
        <f t="shared" si="17"/>
        <v>1.1514052343553001</v>
      </c>
      <c r="AI26" s="47">
        <f t="shared" si="17"/>
        <v>1.1695837690745834</v>
      </c>
      <c r="AJ26" s="47">
        <f t="shared" si="17"/>
        <v>1.1880493088505404</v>
      </c>
      <c r="AK26" s="47">
        <f t="shared" si="17"/>
        <v>1.2068063849561159</v>
      </c>
      <c r="AL26" s="47">
        <f t="shared" si="17"/>
        <v>1.2258596002045781</v>
      </c>
      <c r="AM26" s="47">
        <f t="shared" si="17"/>
        <v>1.2452136300790069</v>
      </c>
      <c r="AN26" s="47">
        <f t="shared" si="17"/>
        <v>1.2648732238796123</v>
      </c>
      <c r="AO26" s="47">
        <f t="shared" si="17"/>
        <v>1.2848432058891714</v>
      </c>
      <c r="AP26" s="47">
        <f t="shared" si="17"/>
        <v>1.3051284765568609</v>
      </c>
      <c r="AQ26" s="47">
        <f t="shared" si="18"/>
        <v>1.3257340137007831</v>
      </c>
      <c r="AR26" s="47">
        <f t="shared" si="18"/>
        <v>1.3466648737294755</v>
      </c>
      <c r="AS26" s="47">
        <f t="shared" si="18"/>
        <v>1.3679261928827084</v>
      </c>
      <c r="AT26" s="47">
        <f t="shared" si="18"/>
        <v>1.3895231884918688</v>
      </c>
      <c r="AU26" s="47">
        <f t="shared" si="18"/>
        <v>1.4114611602602465</v>
      </c>
      <c r="AV26" s="47">
        <f t="shared" si="18"/>
        <v>1.4337454915635324</v>
      </c>
      <c r="AW26" s="47">
        <f t="shared" si="18"/>
        <v>1.4563816507708487</v>
      </c>
      <c r="AX26" s="47">
        <f t="shared" si="18"/>
        <v>1.4793751925866365</v>
      </c>
      <c r="AY26" s="47">
        <f t="shared" si="18"/>
        <v>1.5027317594137282</v>
      </c>
      <c r="AZ26" s="47">
        <f t="shared" si="18"/>
        <v>1.5264570827379427</v>
      </c>
      <c r="BA26" s="47">
        <f t="shared" si="19"/>
        <v>1.5505569845345375</v>
      </c>
      <c r="BB26" s="47">
        <f t="shared" si="19"/>
        <v>1.5750373786968681</v>
      </c>
      <c r="BC26" s="47">
        <f t="shared" si="19"/>
        <v>1.599904272487604</v>
      </c>
      <c r="BD26" s="47">
        <f t="shared" si="19"/>
        <v>1.6251637680128528</v>
      </c>
      <c r="BE26" s="47">
        <f t="shared" si="19"/>
        <v>1.6508220637195639</v>
      </c>
      <c r="BF26" s="47">
        <f t="shared" si="19"/>
        <v>1.6768854559165678</v>
      </c>
      <c r="BG26" s="47">
        <f t="shared" si="19"/>
        <v>1.7033603403196329</v>
      </c>
      <c r="BH26" s="47">
        <f t="shared" si="19"/>
        <v>1.7302532136209157</v>
      </c>
      <c r="BI26" s="47">
        <f t="shared" si="19"/>
        <v>1.7575706750831883</v>
      </c>
      <c r="BJ26" s="47">
        <f t="shared" si="19"/>
        <v>1.7853194281592362</v>
      </c>
      <c r="BK26" s="47">
        <f t="shared" si="20"/>
        <v>1.8135062821368249</v>
      </c>
      <c r="BL26" s="47">
        <f t="shared" si="20"/>
        <v>1.8421381538096351</v>
      </c>
      <c r="BM26" s="47">
        <f t="shared" si="20"/>
        <v>1.8712220691745811</v>
      </c>
      <c r="BN26" s="47">
        <f t="shared" si="20"/>
        <v>1.9007651651559245</v>
      </c>
      <c r="BO26" s="47">
        <f t="shared" si="20"/>
        <v>1.9307746913566095</v>
      </c>
      <c r="BP26" s="47">
        <f t="shared" si="20"/>
        <v>1.9612580118372507</v>
      </c>
      <c r="BQ26" s="47">
        <f t="shared" si="20"/>
        <v>1.9922226069232016</v>
      </c>
      <c r="BR26" s="47">
        <f t="shared" si="20"/>
        <v>2.0236760750401612</v>
      </c>
      <c r="BS26" s="47">
        <f t="shared" si="20"/>
        <v>2.0556261345787559</v>
      </c>
      <c r="BT26" s="47">
        <f t="shared" si="20"/>
        <v>2.0880806257885594</v>
      </c>
      <c r="BU26" s="47">
        <f t="shared" si="20"/>
        <v>2.1210475127020225</v>
      </c>
      <c r="BV26" s="47">
        <f t="shared" si="20"/>
        <v>2.1545348850887676</v>
      </c>
      <c r="BW26" s="47">
        <f t="shared" si="20"/>
        <v>2.1885509604407476</v>
      </c>
      <c r="BX26" s="47">
        <f t="shared" si="20"/>
        <v>2.2231040859887385</v>
      </c>
      <c r="BY26" s="47">
        <f t="shared" si="20"/>
        <v>2.2582027407506788</v>
      </c>
    </row>
    <row r="27" spans="1:77" x14ac:dyDescent="0.25">
      <c r="A27" s="118"/>
      <c r="B27" s="46">
        <v>2009</v>
      </c>
      <c r="C27" s="47">
        <f t="shared" si="14"/>
        <v>0.69747385842481502</v>
      </c>
      <c r="D27" s="47">
        <f t="shared" si="14"/>
        <v>0.70848566588656192</v>
      </c>
      <c r="E27" s="47">
        <f t="shared" si="14"/>
        <v>0.71967132918836618</v>
      </c>
      <c r="F27" s="47">
        <f t="shared" si="14"/>
        <v>0.73103359318871097</v>
      </c>
      <c r="G27" s="47">
        <f t="shared" si="14"/>
        <v>0.74257524608225933</v>
      </c>
      <c r="H27" s="47">
        <f t="shared" si="14"/>
        <v>0.75429912008405253</v>
      </c>
      <c r="I27" s="47">
        <f t="shared" si="14"/>
        <v>0.76620809212450947</v>
      </c>
      <c r="J27" s="47">
        <f t="shared" si="14"/>
        <v>0.77830508455539782</v>
      </c>
      <c r="K27" s="47">
        <f t="shared" si="14"/>
        <v>0.79059306586695333</v>
      </c>
      <c r="L27" s="47">
        <f t="shared" si="14"/>
        <v>0.8030750514163193</v>
      </c>
      <c r="M27" s="47">
        <f t="shared" si="15"/>
        <v>0.8157541041674875</v>
      </c>
      <c r="N27" s="47">
        <f t="shared" si="15"/>
        <v>0.82863333544292095</v>
      </c>
      <c r="O27" s="47">
        <f t="shared" si="15"/>
        <v>0.84171590568704457</v>
      </c>
      <c r="P27" s="47">
        <f t="shared" si="15"/>
        <v>0.85500502524178823</v>
      </c>
      <c r="Q27" s="47">
        <f t="shared" si="15"/>
        <v>0.86850395513437495</v>
      </c>
      <c r="R27" s="47">
        <f t="shared" si="15"/>
        <v>0.88221600787754795</v>
      </c>
      <c r="S27" s="47">
        <f t="shared" si="15"/>
        <v>0.8961445482824294</v>
      </c>
      <c r="T27" s="47">
        <f t="shared" si="15"/>
        <v>0.91029299428421451</v>
      </c>
      <c r="U27" s="47">
        <f t="shared" si="15"/>
        <v>0.9246648177809017</v>
      </c>
      <c r="V27" s="47">
        <f t="shared" si="15"/>
        <v>0.9392635454852637</v>
      </c>
      <c r="W27" s="47">
        <f t="shared" si="16"/>
        <v>0.95409275979027042</v>
      </c>
      <c r="X27" s="47">
        <f t="shared" si="16"/>
        <v>0.96915609964817517</v>
      </c>
      <c r="Y27" s="47">
        <f t="shared" si="16"/>
        <v>0.98445726146348034</v>
      </c>
      <c r="Z27" s="47">
        <f t="shared" si="16"/>
        <v>1</v>
      </c>
      <c r="AA27" s="47">
        <f t="shared" si="16"/>
        <v>1.0157881293022453</v>
      </c>
      <c r="AB27" s="47">
        <f t="shared" si="16"/>
        <v>1.0318255236313549</v>
      </c>
      <c r="AC27" s="47">
        <f t="shared" si="16"/>
        <v>1.0481161184158037</v>
      </c>
      <c r="AD27" s="47">
        <f t="shared" si="16"/>
        <v>1.0646639112171199</v>
      </c>
      <c r="AE27" s="47">
        <f t="shared" si="16"/>
        <v>1.0814729627108499</v>
      </c>
      <c r="AF27" s="47">
        <f t="shared" si="16"/>
        <v>1.0985473976830111</v>
      </c>
      <c r="AG27" s="47">
        <f t="shared" si="17"/>
        <v>1.1158914060422755</v>
      </c>
      <c r="AH27" s="47">
        <f t="shared" si="17"/>
        <v>1.1335092438481353</v>
      </c>
      <c r="AI27" s="47">
        <f t="shared" si="17"/>
        <v>1.1514052343553001</v>
      </c>
      <c r="AJ27" s="47">
        <f t="shared" si="17"/>
        <v>1.1695837690745834</v>
      </c>
      <c r="AK27" s="47">
        <f t="shared" si="17"/>
        <v>1.1880493088505404</v>
      </c>
      <c r="AL27" s="47">
        <f t="shared" si="17"/>
        <v>1.2068063849561159</v>
      </c>
      <c r="AM27" s="47">
        <f t="shared" si="17"/>
        <v>1.2258596002045781</v>
      </c>
      <c r="AN27" s="47">
        <f t="shared" si="17"/>
        <v>1.2452136300790069</v>
      </c>
      <c r="AO27" s="47">
        <f t="shared" si="17"/>
        <v>1.2648732238796123</v>
      </c>
      <c r="AP27" s="47">
        <f t="shared" si="17"/>
        <v>1.2848432058891714</v>
      </c>
      <c r="AQ27" s="47">
        <f t="shared" si="18"/>
        <v>1.3051284765568609</v>
      </c>
      <c r="AR27" s="47">
        <f t="shared" si="18"/>
        <v>1.3257340137007831</v>
      </c>
      <c r="AS27" s="47">
        <f t="shared" si="18"/>
        <v>1.3466648737294755</v>
      </c>
      <c r="AT27" s="47">
        <f t="shared" si="18"/>
        <v>1.3679261928827084</v>
      </c>
      <c r="AU27" s="47">
        <f t="shared" si="18"/>
        <v>1.3895231884918688</v>
      </c>
      <c r="AV27" s="47">
        <f t="shared" si="18"/>
        <v>1.4114611602602465</v>
      </c>
      <c r="AW27" s="47">
        <f t="shared" si="18"/>
        <v>1.4337454915635324</v>
      </c>
      <c r="AX27" s="47">
        <f t="shared" si="18"/>
        <v>1.4563816507708487</v>
      </c>
      <c r="AY27" s="47">
        <f t="shared" si="18"/>
        <v>1.4793751925866365</v>
      </c>
      <c r="AZ27" s="47">
        <f t="shared" si="18"/>
        <v>1.5027317594137282</v>
      </c>
      <c r="BA27" s="47">
        <f t="shared" si="19"/>
        <v>1.5264570827379427</v>
      </c>
      <c r="BB27" s="47">
        <f t="shared" si="19"/>
        <v>1.5505569845345375</v>
      </c>
      <c r="BC27" s="47">
        <f t="shared" si="19"/>
        <v>1.5750373786968681</v>
      </c>
      <c r="BD27" s="47">
        <f t="shared" si="19"/>
        <v>1.599904272487604</v>
      </c>
      <c r="BE27" s="47">
        <f t="shared" si="19"/>
        <v>1.6251637680128528</v>
      </c>
      <c r="BF27" s="47">
        <f t="shared" si="19"/>
        <v>1.6508220637195639</v>
      </c>
      <c r="BG27" s="47">
        <f t="shared" si="19"/>
        <v>1.6768854559165678</v>
      </c>
      <c r="BH27" s="47">
        <f t="shared" si="19"/>
        <v>1.7033603403196329</v>
      </c>
      <c r="BI27" s="47">
        <f t="shared" si="19"/>
        <v>1.7302532136209157</v>
      </c>
      <c r="BJ27" s="47">
        <f t="shared" si="19"/>
        <v>1.7575706750831883</v>
      </c>
      <c r="BK27" s="47">
        <f t="shared" si="20"/>
        <v>1.7853194281592362</v>
      </c>
      <c r="BL27" s="47">
        <f t="shared" si="20"/>
        <v>1.8135062821368249</v>
      </c>
      <c r="BM27" s="47">
        <f t="shared" si="20"/>
        <v>1.8421381538096351</v>
      </c>
      <c r="BN27" s="47">
        <f t="shared" si="20"/>
        <v>1.8712220691745811</v>
      </c>
      <c r="BO27" s="47">
        <f t="shared" si="20"/>
        <v>1.9007651651559245</v>
      </c>
      <c r="BP27" s="47">
        <f t="shared" si="20"/>
        <v>1.9307746913566095</v>
      </c>
      <c r="BQ27" s="47">
        <f t="shared" si="20"/>
        <v>1.9612580118372507</v>
      </c>
      <c r="BR27" s="47">
        <f t="shared" si="20"/>
        <v>1.9922226069232016</v>
      </c>
      <c r="BS27" s="47">
        <f t="shared" si="20"/>
        <v>2.0236760750401612</v>
      </c>
      <c r="BT27" s="47">
        <f t="shared" si="20"/>
        <v>2.0556261345787559</v>
      </c>
      <c r="BU27" s="47">
        <f t="shared" si="20"/>
        <v>2.0880806257885594</v>
      </c>
      <c r="BV27" s="47">
        <f t="shared" si="20"/>
        <v>2.1210475127020225</v>
      </c>
      <c r="BW27" s="47">
        <f t="shared" si="20"/>
        <v>2.1545348850887676</v>
      </c>
      <c r="BX27" s="47">
        <f t="shared" si="20"/>
        <v>2.1885509604407476</v>
      </c>
      <c r="BY27" s="47">
        <f t="shared" si="20"/>
        <v>2.2231040859887385</v>
      </c>
    </row>
    <row r="28" spans="1:77" x14ac:dyDescent="0.25">
      <c r="A28" s="118"/>
      <c r="B28" s="46">
        <v>2010</v>
      </c>
      <c r="C28" s="47">
        <f t="shared" si="14"/>
        <v>0.68663320460726052</v>
      </c>
      <c r="D28" s="47">
        <f t="shared" si="14"/>
        <v>0.69747385842481502</v>
      </c>
      <c r="E28" s="47">
        <f t="shared" si="14"/>
        <v>0.70848566588656192</v>
      </c>
      <c r="F28" s="47">
        <f t="shared" si="14"/>
        <v>0.71967132918836618</v>
      </c>
      <c r="G28" s="47">
        <f t="shared" si="14"/>
        <v>0.73103359318871097</v>
      </c>
      <c r="H28" s="47">
        <f t="shared" si="14"/>
        <v>0.74257524608225933</v>
      </c>
      <c r="I28" s="47">
        <f t="shared" si="14"/>
        <v>0.75429912008405253</v>
      </c>
      <c r="J28" s="47">
        <f t="shared" si="14"/>
        <v>0.76620809212450947</v>
      </c>
      <c r="K28" s="47">
        <f t="shared" si="14"/>
        <v>0.77830508455539782</v>
      </c>
      <c r="L28" s="47">
        <f t="shared" si="14"/>
        <v>0.79059306586695333</v>
      </c>
      <c r="M28" s="47">
        <f t="shared" si="15"/>
        <v>0.8030750514163193</v>
      </c>
      <c r="N28" s="47">
        <f t="shared" si="15"/>
        <v>0.8157541041674875</v>
      </c>
      <c r="O28" s="47">
        <f t="shared" si="15"/>
        <v>0.82863333544292095</v>
      </c>
      <c r="P28" s="47">
        <f t="shared" si="15"/>
        <v>0.84171590568704457</v>
      </c>
      <c r="Q28" s="47">
        <f t="shared" si="15"/>
        <v>0.85500502524178823</v>
      </c>
      <c r="R28" s="47">
        <f t="shared" si="15"/>
        <v>0.86850395513437495</v>
      </c>
      <c r="S28" s="47">
        <f t="shared" si="15"/>
        <v>0.88221600787754795</v>
      </c>
      <c r="T28" s="47">
        <f t="shared" si="15"/>
        <v>0.8961445482824294</v>
      </c>
      <c r="U28" s="47">
        <f t="shared" si="15"/>
        <v>0.91029299428421451</v>
      </c>
      <c r="V28" s="47">
        <f t="shared" si="15"/>
        <v>0.9246648177809017</v>
      </c>
      <c r="W28" s="47">
        <f t="shared" si="16"/>
        <v>0.9392635454852637</v>
      </c>
      <c r="X28" s="47">
        <f t="shared" si="16"/>
        <v>0.95409275979027042</v>
      </c>
      <c r="Y28" s="47">
        <f t="shared" si="16"/>
        <v>0.96915609964817517</v>
      </c>
      <c r="Z28" s="47">
        <f t="shared" si="16"/>
        <v>0.98445726146348034</v>
      </c>
      <c r="AA28" s="47">
        <f t="shared" si="16"/>
        <v>1</v>
      </c>
      <c r="AB28" s="47">
        <f t="shared" si="16"/>
        <v>1.0157881293022453</v>
      </c>
      <c r="AC28" s="47">
        <f t="shared" si="16"/>
        <v>1.0318255236313549</v>
      </c>
      <c r="AD28" s="47">
        <f t="shared" si="16"/>
        <v>1.0481161184158037</v>
      </c>
      <c r="AE28" s="47">
        <f t="shared" si="16"/>
        <v>1.0646639112171199</v>
      </c>
      <c r="AF28" s="47">
        <f t="shared" si="16"/>
        <v>1.0814729627108499</v>
      </c>
      <c r="AG28" s="47">
        <f t="shared" si="17"/>
        <v>1.0985473976830111</v>
      </c>
      <c r="AH28" s="47">
        <f t="shared" si="17"/>
        <v>1.1158914060422755</v>
      </c>
      <c r="AI28" s="47">
        <f t="shared" si="17"/>
        <v>1.1335092438481353</v>
      </c>
      <c r="AJ28" s="47">
        <f t="shared" si="17"/>
        <v>1.1514052343553001</v>
      </c>
      <c r="AK28" s="47">
        <f t="shared" si="17"/>
        <v>1.1695837690745834</v>
      </c>
      <c r="AL28" s="47">
        <f t="shared" si="17"/>
        <v>1.1880493088505404</v>
      </c>
      <c r="AM28" s="47">
        <f t="shared" si="17"/>
        <v>1.2068063849561159</v>
      </c>
      <c r="AN28" s="47">
        <f t="shared" si="17"/>
        <v>1.2258596002045781</v>
      </c>
      <c r="AO28" s="47">
        <f t="shared" si="17"/>
        <v>1.2452136300790069</v>
      </c>
      <c r="AP28" s="47">
        <f t="shared" si="17"/>
        <v>1.2648732238796123</v>
      </c>
      <c r="AQ28" s="47">
        <f t="shared" si="18"/>
        <v>1.2848432058891714</v>
      </c>
      <c r="AR28" s="47">
        <f t="shared" si="18"/>
        <v>1.3051284765568609</v>
      </c>
      <c r="AS28" s="47">
        <f t="shared" si="18"/>
        <v>1.3257340137007831</v>
      </c>
      <c r="AT28" s="47">
        <f t="shared" si="18"/>
        <v>1.3466648737294755</v>
      </c>
      <c r="AU28" s="47">
        <f t="shared" si="18"/>
        <v>1.3679261928827084</v>
      </c>
      <c r="AV28" s="47">
        <f t="shared" si="18"/>
        <v>1.3895231884918688</v>
      </c>
      <c r="AW28" s="47">
        <f t="shared" si="18"/>
        <v>1.4114611602602465</v>
      </c>
      <c r="AX28" s="47">
        <f t="shared" si="18"/>
        <v>1.4337454915635324</v>
      </c>
      <c r="AY28" s="47">
        <f t="shared" si="18"/>
        <v>1.4563816507708487</v>
      </c>
      <c r="AZ28" s="47">
        <f t="shared" si="18"/>
        <v>1.4793751925866365</v>
      </c>
      <c r="BA28" s="47">
        <f t="shared" si="19"/>
        <v>1.5027317594137282</v>
      </c>
      <c r="BB28" s="47">
        <f t="shared" si="19"/>
        <v>1.5264570827379427</v>
      </c>
      <c r="BC28" s="47">
        <f t="shared" si="19"/>
        <v>1.5505569845345375</v>
      </c>
      <c r="BD28" s="47">
        <f t="shared" si="19"/>
        <v>1.5750373786968681</v>
      </c>
      <c r="BE28" s="47">
        <f t="shared" si="19"/>
        <v>1.599904272487604</v>
      </c>
      <c r="BF28" s="47">
        <f t="shared" si="19"/>
        <v>1.6251637680128528</v>
      </c>
      <c r="BG28" s="47">
        <f t="shared" si="19"/>
        <v>1.6508220637195639</v>
      </c>
      <c r="BH28" s="47">
        <f t="shared" si="19"/>
        <v>1.6768854559165678</v>
      </c>
      <c r="BI28" s="47">
        <f t="shared" si="19"/>
        <v>1.7033603403196329</v>
      </c>
      <c r="BJ28" s="47">
        <f t="shared" si="19"/>
        <v>1.7302532136209157</v>
      </c>
      <c r="BK28" s="47">
        <f t="shared" si="20"/>
        <v>1.7575706750831883</v>
      </c>
      <c r="BL28" s="47">
        <f t="shared" si="20"/>
        <v>1.7853194281592362</v>
      </c>
      <c r="BM28" s="47">
        <f t="shared" si="20"/>
        <v>1.8135062821368249</v>
      </c>
      <c r="BN28" s="47">
        <f t="shared" si="20"/>
        <v>1.8421381538096351</v>
      </c>
      <c r="BO28" s="47">
        <f t="shared" si="20"/>
        <v>1.8712220691745811</v>
      </c>
      <c r="BP28" s="47">
        <f t="shared" si="20"/>
        <v>1.9007651651559245</v>
      </c>
      <c r="BQ28" s="47">
        <f t="shared" si="20"/>
        <v>1.9307746913566095</v>
      </c>
      <c r="BR28" s="47">
        <f t="shared" si="20"/>
        <v>1.9612580118372507</v>
      </c>
      <c r="BS28" s="47">
        <f t="shared" si="20"/>
        <v>1.9922226069232016</v>
      </c>
      <c r="BT28" s="47">
        <f t="shared" si="20"/>
        <v>2.0236760750401612</v>
      </c>
      <c r="BU28" s="47">
        <f t="shared" si="20"/>
        <v>2.0556261345787559</v>
      </c>
      <c r="BV28" s="47">
        <f t="shared" si="20"/>
        <v>2.0880806257885594</v>
      </c>
      <c r="BW28" s="47">
        <f t="shared" si="20"/>
        <v>2.1210475127020225</v>
      </c>
      <c r="BX28" s="47">
        <f t="shared" si="20"/>
        <v>2.1545348850887676</v>
      </c>
      <c r="BY28" s="47">
        <f t="shared" si="20"/>
        <v>2.1885509604407476</v>
      </c>
    </row>
    <row r="29" spans="1:77" x14ac:dyDescent="0.25">
      <c r="A29" s="118"/>
      <c r="B29" s="46">
        <v>2011</v>
      </c>
      <c r="C29" s="47">
        <f t="shared" si="14"/>
        <v>0.6759610442375571</v>
      </c>
      <c r="D29" s="47">
        <f t="shared" si="14"/>
        <v>0.68663320460726052</v>
      </c>
      <c r="E29" s="47">
        <f t="shared" si="14"/>
        <v>0.69747385842481502</v>
      </c>
      <c r="F29" s="47">
        <f t="shared" si="14"/>
        <v>0.70848566588656192</v>
      </c>
      <c r="G29" s="47">
        <f t="shared" si="14"/>
        <v>0.71967132918836618</v>
      </c>
      <c r="H29" s="47">
        <f t="shared" si="14"/>
        <v>0.73103359318871097</v>
      </c>
      <c r="I29" s="47">
        <f t="shared" si="14"/>
        <v>0.74257524608225933</v>
      </c>
      <c r="J29" s="47">
        <f t="shared" si="14"/>
        <v>0.75429912008405253</v>
      </c>
      <c r="K29" s="47">
        <f t="shared" si="14"/>
        <v>0.76620809212450947</v>
      </c>
      <c r="L29" s="47">
        <f t="shared" si="14"/>
        <v>0.77830508455539782</v>
      </c>
      <c r="M29" s="47">
        <f t="shared" si="15"/>
        <v>0.79059306586695333</v>
      </c>
      <c r="N29" s="47">
        <f t="shared" si="15"/>
        <v>0.8030750514163193</v>
      </c>
      <c r="O29" s="47">
        <f t="shared" si="15"/>
        <v>0.8157541041674875</v>
      </c>
      <c r="P29" s="47">
        <f t="shared" si="15"/>
        <v>0.82863333544292095</v>
      </c>
      <c r="Q29" s="47">
        <f t="shared" si="15"/>
        <v>0.84171590568704457</v>
      </c>
      <c r="R29" s="47">
        <f t="shared" si="15"/>
        <v>0.85500502524178823</v>
      </c>
      <c r="S29" s="47">
        <f t="shared" si="15"/>
        <v>0.86850395513437495</v>
      </c>
      <c r="T29" s="47">
        <f t="shared" si="15"/>
        <v>0.88221600787754795</v>
      </c>
      <c r="U29" s="47">
        <f t="shared" si="15"/>
        <v>0.8961445482824294</v>
      </c>
      <c r="V29" s="47">
        <f t="shared" si="15"/>
        <v>0.91029299428421451</v>
      </c>
      <c r="W29" s="47">
        <f t="shared" si="16"/>
        <v>0.9246648177809017</v>
      </c>
      <c r="X29" s="47">
        <f t="shared" si="16"/>
        <v>0.9392635454852637</v>
      </c>
      <c r="Y29" s="47">
        <f t="shared" si="16"/>
        <v>0.95409275979027042</v>
      </c>
      <c r="Z29" s="47">
        <f t="shared" si="16"/>
        <v>0.96915609964817517</v>
      </c>
      <c r="AA29" s="47">
        <f t="shared" si="16"/>
        <v>0.98445726146348034</v>
      </c>
      <c r="AB29" s="47">
        <f t="shared" si="16"/>
        <v>1</v>
      </c>
      <c r="AC29" s="47">
        <f t="shared" si="16"/>
        <v>1.0157881293022453</v>
      </c>
      <c r="AD29" s="47">
        <f t="shared" si="16"/>
        <v>1.0318255236313549</v>
      </c>
      <c r="AE29" s="47">
        <f t="shared" si="16"/>
        <v>1.0481161184158037</v>
      </c>
      <c r="AF29" s="47">
        <f t="shared" si="16"/>
        <v>1.0646639112171199</v>
      </c>
      <c r="AG29" s="47">
        <f t="shared" si="17"/>
        <v>1.0814729627108499</v>
      </c>
      <c r="AH29" s="47">
        <f t="shared" si="17"/>
        <v>1.0985473976830111</v>
      </c>
      <c r="AI29" s="47">
        <f t="shared" si="17"/>
        <v>1.1158914060422755</v>
      </c>
      <c r="AJ29" s="47">
        <f t="shared" si="17"/>
        <v>1.1335092438481353</v>
      </c>
      <c r="AK29" s="47">
        <f t="shared" si="17"/>
        <v>1.1514052343553001</v>
      </c>
      <c r="AL29" s="47">
        <f t="shared" si="17"/>
        <v>1.1695837690745834</v>
      </c>
      <c r="AM29" s="47">
        <f t="shared" si="17"/>
        <v>1.1880493088505404</v>
      </c>
      <c r="AN29" s="47">
        <f t="shared" si="17"/>
        <v>1.2068063849561159</v>
      </c>
      <c r="AO29" s="47">
        <f t="shared" si="17"/>
        <v>1.2258596002045781</v>
      </c>
      <c r="AP29" s="47">
        <f t="shared" si="17"/>
        <v>1.2452136300790069</v>
      </c>
      <c r="AQ29" s="47">
        <f t="shared" si="18"/>
        <v>1.2648732238796123</v>
      </c>
      <c r="AR29" s="47">
        <f t="shared" si="18"/>
        <v>1.2848432058891714</v>
      </c>
      <c r="AS29" s="47">
        <f t="shared" si="18"/>
        <v>1.3051284765568609</v>
      </c>
      <c r="AT29" s="47">
        <f t="shared" si="18"/>
        <v>1.3257340137007831</v>
      </c>
      <c r="AU29" s="47">
        <f t="shared" si="18"/>
        <v>1.3466648737294755</v>
      </c>
      <c r="AV29" s="47">
        <f t="shared" si="18"/>
        <v>1.3679261928827084</v>
      </c>
      <c r="AW29" s="47">
        <f t="shared" si="18"/>
        <v>1.3895231884918688</v>
      </c>
      <c r="AX29" s="47">
        <f t="shared" si="18"/>
        <v>1.4114611602602465</v>
      </c>
      <c r="AY29" s="47">
        <f t="shared" si="18"/>
        <v>1.4337454915635324</v>
      </c>
      <c r="AZ29" s="47">
        <f t="shared" si="18"/>
        <v>1.4563816507708487</v>
      </c>
      <c r="BA29" s="47">
        <f t="shared" si="19"/>
        <v>1.4793751925866365</v>
      </c>
      <c r="BB29" s="47">
        <f t="shared" si="19"/>
        <v>1.5027317594137282</v>
      </c>
      <c r="BC29" s="47">
        <f t="shared" si="19"/>
        <v>1.5264570827379427</v>
      </c>
      <c r="BD29" s="47">
        <f t="shared" si="19"/>
        <v>1.5505569845345375</v>
      </c>
      <c r="BE29" s="47">
        <f t="shared" si="19"/>
        <v>1.5750373786968681</v>
      </c>
      <c r="BF29" s="47">
        <f t="shared" si="19"/>
        <v>1.599904272487604</v>
      </c>
      <c r="BG29" s="47">
        <f t="shared" si="19"/>
        <v>1.6251637680128528</v>
      </c>
      <c r="BH29" s="47">
        <f t="shared" si="19"/>
        <v>1.6508220637195639</v>
      </c>
      <c r="BI29" s="47">
        <f t="shared" si="19"/>
        <v>1.6768854559165678</v>
      </c>
      <c r="BJ29" s="47">
        <f t="shared" si="19"/>
        <v>1.7033603403196329</v>
      </c>
      <c r="BK29" s="47">
        <f t="shared" si="20"/>
        <v>1.7302532136209157</v>
      </c>
      <c r="BL29" s="47">
        <f t="shared" si="20"/>
        <v>1.7575706750831883</v>
      </c>
      <c r="BM29" s="47">
        <f t="shared" si="20"/>
        <v>1.7853194281592362</v>
      </c>
      <c r="BN29" s="47">
        <f t="shared" si="20"/>
        <v>1.8135062821368249</v>
      </c>
      <c r="BO29" s="47">
        <f t="shared" si="20"/>
        <v>1.8421381538096351</v>
      </c>
      <c r="BP29" s="47">
        <f t="shared" si="20"/>
        <v>1.8712220691745811</v>
      </c>
      <c r="BQ29" s="47">
        <f t="shared" si="20"/>
        <v>1.9007651651559245</v>
      </c>
      <c r="BR29" s="47">
        <f t="shared" si="20"/>
        <v>1.9307746913566095</v>
      </c>
      <c r="BS29" s="47">
        <f t="shared" si="20"/>
        <v>1.9612580118372507</v>
      </c>
      <c r="BT29" s="47">
        <f t="shared" si="20"/>
        <v>1.9922226069232016</v>
      </c>
      <c r="BU29" s="47">
        <f t="shared" si="20"/>
        <v>2.0236760750401612</v>
      </c>
      <c r="BV29" s="47">
        <f t="shared" si="20"/>
        <v>2.0556261345787559</v>
      </c>
      <c r="BW29" s="47">
        <f t="shared" si="20"/>
        <v>2.0880806257885594</v>
      </c>
      <c r="BX29" s="47">
        <f t="shared" si="20"/>
        <v>2.1210475127020225</v>
      </c>
      <c r="BY29" s="47">
        <f t="shared" si="20"/>
        <v>2.1545348850887676</v>
      </c>
    </row>
    <row r="30" spans="1:77" x14ac:dyDescent="0.25">
      <c r="A30" s="118"/>
      <c r="B30" s="46">
        <v>2012</v>
      </c>
      <c r="C30" s="47">
        <f t="shared" si="14"/>
        <v>0.66545475846610003</v>
      </c>
      <c r="D30" s="47">
        <f t="shared" si="14"/>
        <v>0.6759610442375571</v>
      </c>
      <c r="E30" s="47">
        <f t="shared" si="14"/>
        <v>0.68663320460726052</v>
      </c>
      <c r="F30" s="47">
        <f t="shared" si="14"/>
        <v>0.69747385842481502</v>
      </c>
      <c r="G30" s="47">
        <f t="shared" si="14"/>
        <v>0.70848566588656192</v>
      </c>
      <c r="H30" s="47">
        <f t="shared" si="14"/>
        <v>0.71967132918836618</v>
      </c>
      <c r="I30" s="47">
        <f t="shared" si="14"/>
        <v>0.73103359318871097</v>
      </c>
      <c r="J30" s="47">
        <f t="shared" si="14"/>
        <v>0.74257524608225933</v>
      </c>
      <c r="K30" s="47">
        <f t="shared" si="14"/>
        <v>0.75429912008405253</v>
      </c>
      <c r="L30" s="47">
        <f t="shared" si="14"/>
        <v>0.76620809212450947</v>
      </c>
      <c r="M30" s="47">
        <f t="shared" si="15"/>
        <v>0.77830508455539782</v>
      </c>
      <c r="N30" s="47">
        <f t="shared" si="15"/>
        <v>0.79059306586695333</v>
      </c>
      <c r="O30" s="47">
        <f t="shared" si="15"/>
        <v>0.8030750514163193</v>
      </c>
      <c r="P30" s="47">
        <f t="shared" si="15"/>
        <v>0.8157541041674875</v>
      </c>
      <c r="Q30" s="47">
        <f t="shared" si="15"/>
        <v>0.82863333544292095</v>
      </c>
      <c r="R30" s="47">
        <f t="shared" si="15"/>
        <v>0.84171590568704457</v>
      </c>
      <c r="S30" s="47">
        <f t="shared" si="15"/>
        <v>0.85500502524178823</v>
      </c>
      <c r="T30" s="47">
        <f t="shared" si="15"/>
        <v>0.86850395513437495</v>
      </c>
      <c r="U30" s="47">
        <f t="shared" si="15"/>
        <v>0.88221600787754795</v>
      </c>
      <c r="V30" s="47">
        <f t="shared" si="15"/>
        <v>0.8961445482824294</v>
      </c>
      <c r="W30" s="47">
        <f t="shared" si="16"/>
        <v>0.91029299428421451</v>
      </c>
      <c r="X30" s="47">
        <f t="shared" si="16"/>
        <v>0.9246648177809017</v>
      </c>
      <c r="Y30" s="47">
        <f t="shared" si="16"/>
        <v>0.9392635454852637</v>
      </c>
      <c r="Z30" s="47">
        <f t="shared" si="16"/>
        <v>0.95409275979027042</v>
      </c>
      <c r="AA30" s="47">
        <f t="shared" si="16"/>
        <v>0.96915609964817517</v>
      </c>
      <c r="AB30" s="47">
        <f t="shared" si="16"/>
        <v>0.98445726146348034</v>
      </c>
      <c r="AC30" s="47">
        <f t="shared" si="16"/>
        <v>1</v>
      </c>
      <c r="AD30" s="47">
        <f t="shared" si="16"/>
        <v>1.0157881293022453</v>
      </c>
      <c r="AE30" s="47">
        <f t="shared" si="16"/>
        <v>1.0318255236313549</v>
      </c>
      <c r="AF30" s="47">
        <f t="shared" si="16"/>
        <v>1.0481161184158037</v>
      </c>
      <c r="AG30" s="47">
        <f t="shared" si="17"/>
        <v>1.0646639112171199</v>
      </c>
      <c r="AH30" s="47">
        <f t="shared" si="17"/>
        <v>1.0814729627108499</v>
      </c>
      <c r="AI30" s="47">
        <f t="shared" si="17"/>
        <v>1.0985473976830111</v>
      </c>
      <c r="AJ30" s="47">
        <f t="shared" si="17"/>
        <v>1.1158914060422755</v>
      </c>
      <c r="AK30" s="47">
        <f t="shared" si="17"/>
        <v>1.1335092438481353</v>
      </c>
      <c r="AL30" s="47">
        <f t="shared" si="17"/>
        <v>1.1514052343553001</v>
      </c>
      <c r="AM30" s="47">
        <f t="shared" si="17"/>
        <v>1.1695837690745834</v>
      </c>
      <c r="AN30" s="47">
        <f t="shared" si="17"/>
        <v>1.1880493088505404</v>
      </c>
      <c r="AO30" s="47">
        <f t="shared" si="17"/>
        <v>1.2068063849561159</v>
      </c>
      <c r="AP30" s="47">
        <f t="shared" si="17"/>
        <v>1.2258596002045781</v>
      </c>
      <c r="AQ30" s="47">
        <f t="shared" si="18"/>
        <v>1.2452136300790069</v>
      </c>
      <c r="AR30" s="47">
        <f t="shared" si="18"/>
        <v>1.2648732238796123</v>
      </c>
      <c r="AS30" s="47">
        <f t="shared" si="18"/>
        <v>1.2848432058891714</v>
      </c>
      <c r="AT30" s="47">
        <f t="shared" si="18"/>
        <v>1.3051284765568609</v>
      </c>
      <c r="AU30" s="47">
        <f t="shared" si="18"/>
        <v>1.3257340137007831</v>
      </c>
      <c r="AV30" s="47">
        <f t="shared" si="18"/>
        <v>1.3466648737294755</v>
      </c>
      <c r="AW30" s="47">
        <f t="shared" si="18"/>
        <v>1.3679261928827084</v>
      </c>
      <c r="AX30" s="47">
        <f t="shared" si="18"/>
        <v>1.3895231884918688</v>
      </c>
      <c r="AY30" s="47">
        <f t="shared" si="18"/>
        <v>1.4114611602602465</v>
      </c>
      <c r="AZ30" s="47">
        <f t="shared" si="18"/>
        <v>1.4337454915635324</v>
      </c>
      <c r="BA30" s="47">
        <f t="shared" si="19"/>
        <v>1.4563816507708487</v>
      </c>
      <c r="BB30" s="47">
        <f t="shared" si="19"/>
        <v>1.4793751925866365</v>
      </c>
      <c r="BC30" s="47">
        <f t="shared" si="19"/>
        <v>1.5027317594137282</v>
      </c>
      <c r="BD30" s="47">
        <f t="shared" si="19"/>
        <v>1.5264570827379427</v>
      </c>
      <c r="BE30" s="47">
        <f t="shared" si="19"/>
        <v>1.5505569845345375</v>
      </c>
      <c r="BF30" s="47">
        <f t="shared" si="19"/>
        <v>1.5750373786968681</v>
      </c>
      <c r="BG30" s="47">
        <f t="shared" si="19"/>
        <v>1.599904272487604</v>
      </c>
      <c r="BH30" s="47">
        <f t="shared" si="19"/>
        <v>1.6251637680128528</v>
      </c>
      <c r="BI30" s="47">
        <f t="shared" si="19"/>
        <v>1.6508220637195639</v>
      </c>
      <c r="BJ30" s="47">
        <f t="shared" si="19"/>
        <v>1.6768854559165678</v>
      </c>
      <c r="BK30" s="47">
        <f t="shared" si="20"/>
        <v>1.7033603403196329</v>
      </c>
      <c r="BL30" s="47">
        <f t="shared" si="20"/>
        <v>1.7302532136209157</v>
      </c>
      <c r="BM30" s="47">
        <f t="shared" si="20"/>
        <v>1.7575706750831883</v>
      </c>
      <c r="BN30" s="47">
        <f t="shared" si="20"/>
        <v>1.7853194281592362</v>
      </c>
      <c r="BO30" s="47">
        <f t="shared" si="20"/>
        <v>1.8135062821368249</v>
      </c>
      <c r="BP30" s="47">
        <f t="shared" si="20"/>
        <v>1.8421381538096351</v>
      </c>
      <c r="BQ30" s="47">
        <f t="shared" si="20"/>
        <v>1.8712220691745811</v>
      </c>
      <c r="BR30" s="47">
        <f t="shared" si="20"/>
        <v>1.9007651651559245</v>
      </c>
      <c r="BS30" s="47">
        <f t="shared" si="20"/>
        <v>1.9307746913566095</v>
      </c>
      <c r="BT30" s="47">
        <f t="shared" si="20"/>
        <v>1.9612580118372507</v>
      </c>
      <c r="BU30" s="47">
        <f t="shared" si="20"/>
        <v>1.9922226069232016</v>
      </c>
      <c r="BV30" s="47">
        <f t="shared" si="20"/>
        <v>2.0236760750401612</v>
      </c>
      <c r="BW30" s="47">
        <f t="shared" si="20"/>
        <v>2.0556261345787559</v>
      </c>
      <c r="BX30" s="47">
        <f t="shared" si="20"/>
        <v>2.0880806257885594</v>
      </c>
      <c r="BY30" s="47">
        <f t="shared" si="20"/>
        <v>2.1210475127020225</v>
      </c>
    </row>
    <row r="31" spans="1:77" x14ac:dyDescent="0.25">
      <c r="A31" s="118"/>
      <c r="B31" s="46">
        <v>2013</v>
      </c>
      <c r="C31" s="47">
        <f t="shared" si="14"/>
        <v>0.65511176914737856</v>
      </c>
      <c r="D31" s="47">
        <f t="shared" si="14"/>
        <v>0.66545475846610003</v>
      </c>
      <c r="E31" s="47">
        <f t="shared" si="14"/>
        <v>0.6759610442375571</v>
      </c>
      <c r="F31" s="47">
        <f t="shared" si="14"/>
        <v>0.68663320460726052</v>
      </c>
      <c r="G31" s="47">
        <f t="shared" si="14"/>
        <v>0.69747385842481502</v>
      </c>
      <c r="H31" s="47">
        <f t="shared" si="14"/>
        <v>0.70848566588656192</v>
      </c>
      <c r="I31" s="47">
        <f t="shared" si="14"/>
        <v>0.71967132918836618</v>
      </c>
      <c r="J31" s="47">
        <f t="shared" si="14"/>
        <v>0.73103359318871097</v>
      </c>
      <c r="K31" s="47">
        <f t="shared" si="14"/>
        <v>0.74257524608225933</v>
      </c>
      <c r="L31" s="47">
        <f t="shared" si="14"/>
        <v>0.75429912008405253</v>
      </c>
      <c r="M31" s="47">
        <f t="shared" si="15"/>
        <v>0.76620809212450947</v>
      </c>
      <c r="N31" s="47">
        <f t="shared" si="15"/>
        <v>0.77830508455539782</v>
      </c>
      <c r="O31" s="47">
        <f t="shared" si="15"/>
        <v>0.79059306586695333</v>
      </c>
      <c r="P31" s="47">
        <f t="shared" si="15"/>
        <v>0.8030750514163193</v>
      </c>
      <c r="Q31" s="47">
        <f t="shared" si="15"/>
        <v>0.8157541041674875</v>
      </c>
      <c r="R31" s="47">
        <f t="shared" si="15"/>
        <v>0.82863333544292095</v>
      </c>
      <c r="S31" s="47">
        <f t="shared" si="15"/>
        <v>0.84171590568704457</v>
      </c>
      <c r="T31" s="47">
        <f t="shared" si="15"/>
        <v>0.85500502524178823</v>
      </c>
      <c r="U31" s="47">
        <f t="shared" si="15"/>
        <v>0.86850395513437495</v>
      </c>
      <c r="V31" s="47">
        <f t="shared" si="15"/>
        <v>0.88221600787754795</v>
      </c>
      <c r="W31" s="47">
        <f t="shared" si="16"/>
        <v>0.8961445482824294</v>
      </c>
      <c r="X31" s="47">
        <f t="shared" si="16"/>
        <v>0.91029299428421451</v>
      </c>
      <c r="Y31" s="47">
        <f t="shared" si="16"/>
        <v>0.9246648177809017</v>
      </c>
      <c r="Z31" s="47">
        <f t="shared" si="16"/>
        <v>0.9392635454852637</v>
      </c>
      <c r="AA31" s="47">
        <f t="shared" si="16"/>
        <v>0.95409275979027042</v>
      </c>
      <c r="AB31" s="47">
        <f t="shared" si="16"/>
        <v>0.96915609964817517</v>
      </c>
      <c r="AC31" s="47">
        <f t="shared" si="16"/>
        <v>0.98445726146348034</v>
      </c>
      <c r="AD31" s="47">
        <f t="shared" si="16"/>
        <v>1</v>
      </c>
      <c r="AE31" s="47">
        <f t="shared" si="16"/>
        <v>1.0157881293022453</v>
      </c>
      <c r="AF31" s="47">
        <f t="shared" si="16"/>
        <v>1.0318255236313549</v>
      </c>
      <c r="AG31" s="47">
        <f t="shared" si="17"/>
        <v>1.0481161184158037</v>
      </c>
      <c r="AH31" s="47">
        <f t="shared" si="17"/>
        <v>1.0646639112171199</v>
      </c>
      <c r="AI31" s="47">
        <f t="shared" si="17"/>
        <v>1.0814729627108499</v>
      </c>
      <c r="AJ31" s="47">
        <f t="shared" si="17"/>
        <v>1.0985473976830111</v>
      </c>
      <c r="AK31" s="47">
        <f t="shared" si="17"/>
        <v>1.1158914060422755</v>
      </c>
      <c r="AL31" s="47">
        <f t="shared" si="17"/>
        <v>1.1335092438481353</v>
      </c>
      <c r="AM31" s="47">
        <f t="shared" si="17"/>
        <v>1.1514052343553001</v>
      </c>
      <c r="AN31" s="47">
        <f t="shared" si="17"/>
        <v>1.1695837690745834</v>
      </c>
      <c r="AO31" s="47">
        <f t="shared" si="17"/>
        <v>1.1880493088505404</v>
      </c>
      <c r="AP31" s="47">
        <f t="shared" si="17"/>
        <v>1.2068063849561159</v>
      </c>
      <c r="AQ31" s="47">
        <f t="shared" si="18"/>
        <v>1.2258596002045781</v>
      </c>
      <c r="AR31" s="47">
        <f t="shared" si="18"/>
        <v>1.2452136300790069</v>
      </c>
      <c r="AS31" s="47">
        <f t="shared" si="18"/>
        <v>1.2648732238796123</v>
      </c>
      <c r="AT31" s="47">
        <f t="shared" si="18"/>
        <v>1.2848432058891714</v>
      </c>
      <c r="AU31" s="47">
        <f t="shared" si="18"/>
        <v>1.3051284765568609</v>
      </c>
      <c r="AV31" s="47">
        <f t="shared" si="18"/>
        <v>1.3257340137007831</v>
      </c>
      <c r="AW31" s="47">
        <f t="shared" si="18"/>
        <v>1.3466648737294755</v>
      </c>
      <c r="AX31" s="47">
        <f t="shared" si="18"/>
        <v>1.3679261928827084</v>
      </c>
      <c r="AY31" s="47">
        <f t="shared" si="18"/>
        <v>1.3895231884918688</v>
      </c>
      <c r="AZ31" s="47">
        <f t="shared" si="18"/>
        <v>1.4114611602602465</v>
      </c>
      <c r="BA31" s="47">
        <f t="shared" si="19"/>
        <v>1.4337454915635324</v>
      </c>
      <c r="BB31" s="47">
        <f t="shared" si="19"/>
        <v>1.4563816507708487</v>
      </c>
      <c r="BC31" s="47">
        <f t="shared" si="19"/>
        <v>1.4793751925866365</v>
      </c>
      <c r="BD31" s="47">
        <f t="shared" si="19"/>
        <v>1.5027317594137282</v>
      </c>
      <c r="BE31" s="47">
        <f t="shared" si="19"/>
        <v>1.5264570827379427</v>
      </c>
      <c r="BF31" s="47">
        <f t="shared" si="19"/>
        <v>1.5505569845345375</v>
      </c>
      <c r="BG31" s="47">
        <f t="shared" si="19"/>
        <v>1.5750373786968681</v>
      </c>
      <c r="BH31" s="47">
        <f t="shared" si="19"/>
        <v>1.599904272487604</v>
      </c>
      <c r="BI31" s="47">
        <f t="shared" si="19"/>
        <v>1.6251637680128528</v>
      </c>
      <c r="BJ31" s="47">
        <f t="shared" si="19"/>
        <v>1.6508220637195639</v>
      </c>
      <c r="BK31" s="47">
        <f t="shared" si="20"/>
        <v>1.6768854559165678</v>
      </c>
      <c r="BL31" s="47">
        <f t="shared" si="20"/>
        <v>1.7033603403196329</v>
      </c>
      <c r="BM31" s="47">
        <f t="shared" si="20"/>
        <v>1.7302532136209157</v>
      </c>
      <c r="BN31" s="47">
        <f t="shared" si="20"/>
        <v>1.7575706750831883</v>
      </c>
      <c r="BO31" s="47">
        <f t="shared" si="20"/>
        <v>1.7853194281592362</v>
      </c>
      <c r="BP31" s="47">
        <f t="shared" si="20"/>
        <v>1.8135062821368249</v>
      </c>
      <c r="BQ31" s="47">
        <f t="shared" si="20"/>
        <v>1.8421381538096351</v>
      </c>
      <c r="BR31" s="47">
        <f t="shared" si="20"/>
        <v>1.8712220691745811</v>
      </c>
      <c r="BS31" s="47">
        <f t="shared" si="20"/>
        <v>1.9007651651559245</v>
      </c>
      <c r="BT31" s="47">
        <f t="shared" si="20"/>
        <v>1.9307746913566095</v>
      </c>
      <c r="BU31" s="47">
        <f t="shared" si="20"/>
        <v>1.9612580118372507</v>
      </c>
      <c r="BV31" s="47">
        <f t="shared" si="20"/>
        <v>1.9922226069232016</v>
      </c>
      <c r="BW31" s="47">
        <f t="shared" si="20"/>
        <v>2.0236760750401612</v>
      </c>
      <c r="BX31" s="47">
        <f t="shared" si="20"/>
        <v>2.0556261345787559</v>
      </c>
      <c r="BY31" s="47">
        <f t="shared" si="20"/>
        <v>2.0880806257885594</v>
      </c>
    </row>
    <row r="32" spans="1:77" x14ac:dyDescent="0.25">
      <c r="A32" s="118"/>
      <c r="B32" s="46">
        <v>2014</v>
      </c>
      <c r="C32" s="47">
        <f t="shared" si="14"/>
        <v>0.6449295382073239</v>
      </c>
      <c r="D32" s="47">
        <f t="shared" si="14"/>
        <v>0.65511176914737856</v>
      </c>
      <c r="E32" s="47">
        <f t="shared" si="14"/>
        <v>0.66545475846610003</v>
      </c>
      <c r="F32" s="47">
        <f t="shared" si="14"/>
        <v>0.6759610442375571</v>
      </c>
      <c r="G32" s="47">
        <f t="shared" si="14"/>
        <v>0.68663320460726052</v>
      </c>
      <c r="H32" s="47">
        <f t="shared" si="14"/>
        <v>0.69747385842481502</v>
      </c>
      <c r="I32" s="47">
        <f t="shared" si="14"/>
        <v>0.70848566588656192</v>
      </c>
      <c r="J32" s="47">
        <f t="shared" si="14"/>
        <v>0.71967132918836618</v>
      </c>
      <c r="K32" s="47">
        <f t="shared" si="14"/>
        <v>0.73103359318871097</v>
      </c>
      <c r="L32" s="47">
        <f t="shared" si="14"/>
        <v>0.74257524608225933</v>
      </c>
      <c r="M32" s="47">
        <f t="shared" si="15"/>
        <v>0.75429912008405253</v>
      </c>
      <c r="N32" s="47">
        <f t="shared" si="15"/>
        <v>0.76620809212450947</v>
      </c>
      <c r="O32" s="47">
        <f t="shared" si="15"/>
        <v>0.77830508455539782</v>
      </c>
      <c r="P32" s="47">
        <f t="shared" si="15"/>
        <v>0.79059306586695333</v>
      </c>
      <c r="Q32" s="47">
        <f t="shared" si="15"/>
        <v>0.8030750514163193</v>
      </c>
      <c r="R32" s="47">
        <f t="shared" si="15"/>
        <v>0.8157541041674875</v>
      </c>
      <c r="S32" s="47">
        <f t="shared" si="15"/>
        <v>0.82863333544292095</v>
      </c>
      <c r="T32" s="47">
        <f t="shared" si="15"/>
        <v>0.84171590568704457</v>
      </c>
      <c r="U32" s="47">
        <f t="shared" si="15"/>
        <v>0.85500502524178823</v>
      </c>
      <c r="V32" s="47">
        <f t="shared" si="15"/>
        <v>0.86850395513437495</v>
      </c>
      <c r="W32" s="47">
        <f t="shared" si="16"/>
        <v>0.88221600787754795</v>
      </c>
      <c r="X32" s="47">
        <f t="shared" si="16"/>
        <v>0.8961445482824294</v>
      </c>
      <c r="Y32" s="47">
        <f t="shared" si="16"/>
        <v>0.91029299428421451</v>
      </c>
      <c r="Z32" s="47">
        <f t="shared" si="16"/>
        <v>0.9246648177809017</v>
      </c>
      <c r="AA32" s="47">
        <f t="shared" si="16"/>
        <v>0.9392635454852637</v>
      </c>
      <c r="AB32" s="47">
        <f t="shared" si="16"/>
        <v>0.95409275979027042</v>
      </c>
      <c r="AC32" s="47">
        <f t="shared" si="16"/>
        <v>0.96915609964817517</v>
      </c>
      <c r="AD32" s="47">
        <f t="shared" si="16"/>
        <v>0.98445726146348034</v>
      </c>
      <c r="AE32" s="47">
        <f t="shared" si="16"/>
        <v>1</v>
      </c>
      <c r="AF32" s="47">
        <f t="shared" si="16"/>
        <v>1.0157881293022453</v>
      </c>
      <c r="AG32" s="47">
        <f t="shared" si="17"/>
        <v>1.0318255236313549</v>
      </c>
      <c r="AH32" s="47">
        <f t="shared" si="17"/>
        <v>1.0481161184158037</v>
      </c>
      <c r="AI32" s="47">
        <f t="shared" si="17"/>
        <v>1.0646639112171199</v>
      </c>
      <c r="AJ32" s="47">
        <f t="shared" si="17"/>
        <v>1.0814729627108499</v>
      </c>
      <c r="AK32" s="47">
        <f t="shared" si="17"/>
        <v>1.0985473976830111</v>
      </c>
      <c r="AL32" s="47">
        <f t="shared" si="17"/>
        <v>1.1158914060422755</v>
      </c>
      <c r="AM32" s="47">
        <f t="shared" si="17"/>
        <v>1.1335092438481353</v>
      </c>
      <c r="AN32" s="47">
        <f t="shared" si="17"/>
        <v>1.1514052343553001</v>
      </c>
      <c r="AO32" s="47">
        <f t="shared" si="17"/>
        <v>1.1695837690745834</v>
      </c>
      <c r="AP32" s="47">
        <f t="shared" si="17"/>
        <v>1.1880493088505404</v>
      </c>
      <c r="AQ32" s="47">
        <f t="shared" si="18"/>
        <v>1.2068063849561159</v>
      </c>
      <c r="AR32" s="47">
        <f t="shared" si="18"/>
        <v>1.2258596002045781</v>
      </c>
      <c r="AS32" s="47">
        <f t="shared" si="18"/>
        <v>1.2452136300790069</v>
      </c>
      <c r="AT32" s="47">
        <f t="shared" si="18"/>
        <v>1.2648732238796123</v>
      </c>
      <c r="AU32" s="47">
        <f t="shared" si="18"/>
        <v>1.2848432058891714</v>
      </c>
      <c r="AV32" s="47">
        <f t="shared" si="18"/>
        <v>1.3051284765568609</v>
      </c>
      <c r="AW32" s="47">
        <f t="shared" si="18"/>
        <v>1.3257340137007831</v>
      </c>
      <c r="AX32" s="47">
        <f t="shared" si="18"/>
        <v>1.3466648737294755</v>
      </c>
      <c r="AY32" s="47">
        <f t="shared" si="18"/>
        <v>1.3679261928827084</v>
      </c>
      <c r="AZ32" s="47">
        <f t="shared" si="18"/>
        <v>1.3895231884918688</v>
      </c>
      <c r="BA32" s="47">
        <f t="shared" si="19"/>
        <v>1.4114611602602465</v>
      </c>
      <c r="BB32" s="47">
        <f t="shared" si="19"/>
        <v>1.4337454915635324</v>
      </c>
      <c r="BC32" s="47">
        <f t="shared" si="19"/>
        <v>1.4563816507708487</v>
      </c>
      <c r="BD32" s="47">
        <f t="shared" si="19"/>
        <v>1.4793751925866365</v>
      </c>
      <c r="BE32" s="47">
        <f t="shared" si="19"/>
        <v>1.5027317594137282</v>
      </c>
      <c r="BF32" s="47">
        <f t="shared" si="19"/>
        <v>1.5264570827379427</v>
      </c>
      <c r="BG32" s="47">
        <f t="shared" si="19"/>
        <v>1.5505569845345375</v>
      </c>
      <c r="BH32" s="47">
        <f t="shared" si="19"/>
        <v>1.5750373786968681</v>
      </c>
      <c r="BI32" s="47">
        <f t="shared" si="19"/>
        <v>1.599904272487604</v>
      </c>
      <c r="BJ32" s="47">
        <f t="shared" si="19"/>
        <v>1.6251637680128528</v>
      </c>
      <c r="BK32" s="47">
        <f t="shared" si="20"/>
        <v>1.6508220637195639</v>
      </c>
      <c r="BL32" s="47">
        <f t="shared" si="20"/>
        <v>1.6768854559165678</v>
      </c>
      <c r="BM32" s="47">
        <f t="shared" si="20"/>
        <v>1.7033603403196329</v>
      </c>
      <c r="BN32" s="47">
        <f t="shared" si="20"/>
        <v>1.7302532136209157</v>
      </c>
      <c r="BO32" s="47">
        <f t="shared" si="20"/>
        <v>1.7575706750831883</v>
      </c>
      <c r="BP32" s="47">
        <f t="shared" si="20"/>
        <v>1.7853194281592362</v>
      </c>
      <c r="BQ32" s="47">
        <f t="shared" si="20"/>
        <v>1.8135062821368249</v>
      </c>
      <c r="BR32" s="47">
        <f t="shared" si="20"/>
        <v>1.8421381538096351</v>
      </c>
      <c r="BS32" s="47">
        <f t="shared" si="20"/>
        <v>1.8712220691745811</v>
      </c>
      <c r="BT32" s="47">
        <f t="shared" si="20"/>
        <v>1.9007651651559245</v>
      </c>
      <c r="BU32" s="47">
        <f t="shared" si="20"/>
        <v>1.9307746913566095</v>
      </c>
      <c r="BV32" s="47">
        <f t="shared" si="20"/>
        <v>1.9612580118372507</v>
      </c>
      <c r="BW32" s="47">
        <f t="shared" si="20"/>
        <v>1.9922226069232016</v>
      </c>
      <c r="BX32" s="47">
        <f t="shared" si="20"/>
        <v>2.0236760750401612</v>
      </c>
      <c r="BY32" s="47">
        <f t="shared" si="20"/>
        <v>2.0556261345787559</v>
      </c>
    </row>
    <row r="33" spans="1:77" x14ac:dyDescent="0.25">
      <c r="A33" s="118"/>
      <c r="B33" s="46">
        <v>2015</v>
      </c>
      <c r="C33" s="47">
        <f t="shared" si="14"/>
        <v>0.63490556702048917</v>
      </c>
      <c r="D33" s="47">
        <f t="shared" si="14"/>
        <v>0.6449295382073239</v>
      </c>
      <c r="E33" s="47">
        <f t="shared" si="14"/>
        <v>0.65511176914737856</v>
      </c>
      <c r="F33" s="47">
        <f t="shared" si="14"/>
        <v>0.66545475846610003</v>
      </c>
      <c r="G33" s="47">
        <f t="shared" si="14"/>
        <v>0.6759610442375571</v>
      </c>
      <c r="H33" s="47">
        <f t="shared" si="14"/>
        <v>0.68663320460726052</v>
      </c>
      <c r="I33" s="47">
        <f t="shared" si="14"/>
        <v>0.69747385842481502</v>
      </c>
      <c r="J33" s="47">
        <f t="shared" si="14"/>
        <v>0.70848566588656192</v>
      </c>
      <c r="K33" s="47">
        <f t="shared" si="14"/>
        <v>0.71967132918836618</v>
      </c>
      <c r="L33" s="47">
        <f t="shared" si="14"/>
        <v>0.73103359318871097</v>
      </c>
      <c r="M33" s="47">
        <f t="shared" si="15"/>
        <v>0.74257524608225933</v>
      </c>
      <c r="N33" s="47">
        <f t="shared" si="15"/>
        <v>0.75429912008405253</v>
      </c>
      <c r="O33" s="47">
        <f t="shared" si="15"/>
        <v>0.76620809212450947</v>
      </c>
      <c r="P33" s="47">
        <f t="shared" si="15"/>
        <v>0.77830508455539782</v>
      </c>
      <c r="Q33" s="47">
        <f t="shared" si="15"/>
        <v>0.79059306586695333</v>
      </c>
      <c r="R33" s="47">
        <f t="shared" si="15"/>
        <v>0.8030750514163193</v>
      </c>
      <c r="S33" s="47">
        <f t="shared" si="15"/>
        <v>0.8157541041674875</v>
      </c>
      <c r="T33" s="47">
        <f t="shared" si="15"/>
        <v>0.82863333544292095</v>
      </c>
      <c r="U33" s="47">
        <f t="shared" si="15"/>
        <v>0.84171590568704457</v>
      </c>
      <c r="V33" s="47">
        <f t="shared" si="15"/>
        <v>0.85500502524178823</v>
      </c>
      <c r="W33" s="47">
        <f t="shared" si="16"/>
        <v>0.86850395513437495</v>
      </c>
      <c r="X33" s="47">
        <f t="shared" si="16"/>
        <v>0.88221600787754795</v>
      </c>
      <c r="Y33" s="47">
        <f t="shared" si="16"/>
        <v>0.8961445482824294</v>
      </c>
      <c r="Z33" s="47">
        <f t="shared" si="16"/>
        <v>0.91029299428421451</v>
      </c>
      <c r="AA33" s="47">
        <f t="shared" si="16"/>
        <v>0.9246648177809017</v>
      </c>
      <c r="AB33" s="47">
        <f t="shared" si="16"/>
        <v>0.9392635454852637</v>
      </c>
      <c r="AC33" s="47">
        <f t="shared" si="16"/>
        <v>0.95409275979027042</v>
      </c>
      <c r="AD33" s="47">
        <f t="shared" si="16"/>
        <v>0.96915609964817517</v>
      </c>
      <c r="AE33" s="47">
        <f t="shared" si="16"/>
        <v>0.98445726146348034</v>
      </c>
      <c r="AF33" s="47">
        <f t="shared" si="16"/>
        <v>1</v>
      </c>
      <c r="AG33" s="47">
        <f t="shared" si="17"/>
        <v>1.0157881293022453</v>
      </c>
      <c r="AH33" s="47">
        <f t="shared" si="17"/>
        <v>1.0318255236313549</v>
      </c>
      <c r="AI33" s="47">
        <f t="shared" si="17"/>
        <v>1.0481161184158037</v>
      </c>
      <c r="AJ33" s="47">
        <f t="shared" si="17"/>
        <v>1.0646639112171199</v>
      </c>
      <c r="AK33" s="47">
        <f t="shared" si="17"/>
        <v>1.0814729627108499</v>
      </c>
      <c r="AL33" s="47">
        <f t="shared" si="17"/>
        <v>1.0985473976830111</v>
      </c>
      <c r="AM33" s="47">
        <f t="shared" si="17"/>
        <v>1.1158914060422755</v>
      </c>
      <c r="AN33" s="47">
        <f t="shared" si="17"/>
        <v>1.1335092438481353</v>
      </c>
      <c r="AO33" s="47">
        <f t="shared" si="17"/>
        <v>1.1514052343553001</v>
      </c>
      <c r="AP33" s="47">
        <f t="shared" si="17"/>
        <v>1.1695837690745834</v>
      </c>
      <c r="AQ33" s="47">
        <f t="shared" si="18"/>
        <v>1.1880493088505404</v>
      </c>
      <c r="AR33" s="47">
        <f t="shared" si="18"/>
        <v>1.2068063849561159</v>
      </c>
      <c r="AS33" s="47">
        <f t="shared" si="18"/>
        <v>1.2258596002045781</v>
      </c>
      <c r="AT33" s="47">
        <f t="shared" si="18"/>
        <v>1.2452136300790069</v>
      </c>
      <c r="AU33" s="47">
        <f t="shared" si="18"/>
        <v>1.2648732238796123</v>
      </c>
      <c r="AV33" s="47">
        <f t="shared" si="18"/>
        <v>1.2848432058891714</v>
      </c>
      <c r="AW33" s="47">
        <f t="shared" si="18"/>
        <v>1.3051284765568609</v>
      </c>
      <c r="AX33" s="47">
        <f t="shared" si="18"/>
        <v>1.3257340137007831</v>
      </c>
      <c r="AY33" s="47">
        <f t="shared" si="18"/>
        <v>1.3466648737294755</v>
      </c>
      <c r="AZ33" s="47">
        <f t="shared" si="18"/>
        <v>1.3679261928827084</v>
      </c>
      <c r="BA33" s="47">
        <f t="shared" si="19"/>
        <v>1.3895231884918688</v>
      </c>
      <c r="BB33" s="47">
        <f t="shared" si="19"/>
        <v>1.4114611602602465</v>
      </c>
      <c r="BC33" s="47">
        <f t="shared" si="19"/>
        <v>1.4337454915635324</v>
      </c>
      <c r="BD33" s="47">
        <f t="shared" si="19"/>
        <v>1.4563816507708487</v>
      </c>
      <c r="BE33" s="47">
        <f t="shared" si="19"/>
        <v>1.4793751925866365</v>
      </c>
      <c r="BF33" s="47">
        <f t="shared" si="19"/>
        <v>1.5027317594137282</v>
      </c>
      <c r="BG33" s="47">
        <f t="shared" si="19"/>
        <v>1.5264570827379427</v>
      </c>
      <c r="BH33" s="47">
        <f t="shared" si="19"/>
        <v>1.5505569845345375</v>
      </c>
      <c r="BI33" s="47">
        <f t="shared" si="19"/>
        <v>1.5750373786968681</v>
      </c>
      <c r="BJ33" s="47">
        <f t="shared" si="19"/>
        <v>1.599904272487604</v>
      </c>
      <c r="BK33" s="47">
        <f t="shared" si="20"/>
        <v>1.6251637680128528</v>
      </c>
      <c r="BL33" s="47">
        <f t="shared" si="20"/>
        <v>1.6508220637195639</v>
      </c>
      <c r="BM33" s="47">
        <f t="shared" si="20"/>
        <v>1.6768854559165678</v>
      </c>
      <c r="BN33" s="47">
        <f t="shared" si="20"/>
        <v>1.7033603403196329</v>
      </c>
      <c r="BO33" s="47">
        <f t="shared" si="20"/>
        <v>1.7302532136209157</v>
      </c>
      <c r="BP33" s="47">
        <f t="shared" si="20"/>
        <v>1.7575706750831883</v>
      </c>
      <c r="BQ33" s="47">
        <f t="shared" si="20"/>
        <v>1.7853194281592362</v>
      </c>
      <c r="BR33" s="47">
        <f t="shared" si="20"/>
        <v>1.8135062821368249</v>
      </c>
      <c r="BS33" s="47">
        <f t="shared" si="20"/>
        <v>1.8421381538096351</v>
      </c>
      <c r="BT33" s="47">
        <f t="shared" si="20"/>
        <v>1.8712220691745811</v>
      </c>
      <c r="BU33" s="47">
        <f t="shared" si="20"/>
        <v>1.9007651651559245</v>
      </c>
      <c r="BV33" s="47">
        <f t="shared" si="20"/>
        <v>1.9307746913566095</v>
      </c>
      <c r="BW33" s="47">
        <f t="shared" si="20"/>
        <v>1.9612580118372507</v>
      </c>
      <c r="BX33" s="47">
        <f t="shared" si="20"/>
        <v>1.9922226069232016</v>
      </c>
      <c r="BY33" s="47">
        <f t="shared" si="20"/>
        <v>2.0236760750401612</v>
      </c>
    </row>
    <row r="34" spans="1:77" x14ac:dyDescent="0.25">
      <c r="A34" s="118"/>
      <c r="B34" s="46">
        <v>2016</v>
      </c>
      <c r="C34" s="47">
        <f t="shared" ref="C34:L42" si="21">(1+$F$1)^(C$3-$B34)</f>
        <v>0.62503739579690876</v>
      </c>
      <c r="D34" s="47">
        <f t="shared" si="21"/>
        <v>0.63490556702048917</v>
      </c>
      <c r="E34" s="47">
        <f t="shared" si="21"/>
        <v>0.6449295382073239</v>
      </c>
      <c r="F34" s="47">
        <f t="shared" si="21"/>
        <v>0.65511176914737856</v>
      </c>
      <c r="G34" s="47">
        <f t="shared" si="21"/>
        <v>0.66545475846610003</v>
      </c>
      <c r="H34" s="47">
        <f t="shared" si="21"/>
        <v>0.6759610442375571</v>
      </c>
      <c r="I34" s="47">
        <f t="shared" si="21"/>
        <v>0.68663320460726052</v>
      </c>
      <c r="J34" s="47">
        <f t="shared" si="21"/>
        <v>0.69747385842481502</v>
      </c>
      <c r="K34" s="47">
        <f t="shared" si="21"/>
        <v>0.70848566588656192</v>
      </c>
      <c r="L34" s="47">
        <f t="shared" si="21"/>
        <v>0.71967132918836618</v>
      </c>
      <c r="M34" s="47">
        <f t="shared" ref="M34:V42" si="22">(1+$F$1)^(M$3-$B34)</f>
        <v>0.73103359318871097</v>
      </c>
      <c r="N34" s="47">
        <f t="shared" si="22"/>
        <v>0.74257524608225933</v>
      </c>
      <c r="O34" s="47">
        <f t="shared" si="22"/>
        <v>0.75429912008405253</v>
      </c>
      <c r="P34" s="47">
        <f t="shared" si="22"/>
        <v>0.76620809212450947</v>
      </c>
      <c r="Q34" s="47">
        <f t="shared" si="22"/>
        <v>0.77830508455539782</v>
      </c>
      <c r="R34" s="47">
        <f t="shared" si="22"/>
        <v>0.79059306586695333</v>
      </c>
      <c r="S34" s="47">
        <f t="shared" si="22"/>
        <v>0.8030750514163193</v>
      </c>
      <c r="T34" s="47">
        <f t="shared" si="22"/>
        <v>0.8157541041674875</v>
      </c>
      <c r="U34" s="47">
        <f t="shared" si="22"/>
        <v>0.82863333544292095</v>
      </c>
      <c r="V34" s="47">
        <f t="shared" si="22"/>
        <v>0.84171590568704457</v>
      </c>
      <c r="W34" s="47">
        <f t="shared" ref="W34:AF42" si="23">(1+$F$1)^(W$3-$B34)</f>
        <v>0.85500502524178823</v>
      </c>
      <c r="X34" s="47">
        <f t="shared" si="23"/>
        <v>0.86850395513437495</v>
      </c>
      <c r="Y34" s="47">
        <f t="shared" si="23"/>
        <v>0.88221600787754795</v>
      </c>
      <c r="Z34" s="47">
        <f t="shared" si="23"/>
        <v>0.8961445482824294</v>
      </c>
      <c r="AA34" s="47">
        <f t="shared" si="23"/>
        <v>0.91029299428421451</v>
      </c>
      <c r="AB34" s="47">
        <f t="shared" si="23"/>
        <v>0.9246648177809017</v>
      </c>
      <c r="AC34" s="47">
        <f t="shared" si="23"/>
        <v>0.9392635454852637</v>
      </c>
      <c r="AD34" s="47">
        <f t="shared" si="23"/>
        <v>0.95409275979027042</v>
      </c>
      <c r="AE34" s="47">
        <f t="shared" si="23"/>
        <v>0.96915609964817517</v>
      </c>
      <c r="AF34" s="47">
        <f t="shared" si="23"/>
        <v>0.98445726146348034</v>
      </c>
      <c r="AG34" s="47">
        <f t="shared" ref="AG34:AP42" si="24">(1+$F$1)^(AG$3-$B34)</f>
        <v>1</v>
      </c>
      <c r="AH34" s="47">
        <f t="shared" si="24"/>
        <v>1.0157881293022453</v>
      </c>
      <c r="AI34" s="47">
        <f t="shared" si="24"/>
        <v>1.0318255236313549</v>
      </c>
      <c r="AJ34" s="47">
        <f t="shared" si="24"/>
        <v>1.0481161184158037</v>
      </c>
      <c r="AK34" s="47">
        <f t="shared" si="24"/>
        <v>1.0646639112171199</v>
      </c>
      <c r="AL34" s="47">
        <f t="shared" si="24"/>
        <v>1.0814729627108499</v>
      </c>
      <c r="AM34" s="47">
        <f t="shared" si="24"/>
        <v>1.0985473976830111</v>
      </c>
      <c r="AN34" s="47">
        <f t="shared" si="24"/>
        <v>1.1158914060422755</v>
      </c>
      <c r="AO34" s="47">
        <f t="shared" si="24"/>
        <v>1.1335092438481353</v>
      </c>
      <c r="AP34" s="47">
        <f t="shared" si="24"/>
        <v>1.1514052343553001</v>
      </c>
      <c r="AQ34" s="47">
        <f t="shared" ref="AQ34:AZ42" si="25">(1+$F$1)^(AQ$3-$B34)</f>
        <v>1.1695837690745834</v>
      </c>
      <c r="AR34" s="47">
        <f t="shared" si="25"/>
        <v>1.1880493088505404</v>
      </c>
      <c r="AS34" s="47">
        <f t="shared" si="25"/>
        <v>1.2068063849561159</v>
      </c>
      <c r="AT34" s="47">
        <f t="shared" si="25"/>
        <v>1.2258596002045781</v>
      </c>
      <c r="AU34" s="47">
        <f t="shared" si="25"/>
        <v>1.2452136300790069</v>
      </c>
      <c r="AV34" s="47">
        <f t="shared" si="25"/>
        <v>1.2648732238796123</v>
      </c>
      <c r="AW34" s="47">
        <f t="shared" si="25"/>
        <v>1.2848432058891714</v>
      </c>
      <c r="AX34" s="47">
        <f t="shared" si="25"/>
        <v>1.3051284765568609</v>
      </c>
      <c r="AY34" s="47">
        <f t="shared" si="25"/>
        <v>1.3257340137007831</v>
      </c>
      <c r="AZ34" s="47">
        <f t="shared" si="25"/>
        <v>1.3466648737294755</v>
      </c>
      <c r="BA34" s="47">
        <f t="shared" ref="BA34:BJ42" si="26">(1+$F$1)^(BA$3-$B34)</f>
        <v>1.3679261928827084</v>
      </c>
      <c r="BB34" s="47">
        <f t="shared" si="26"/>
        <v>1.3895231884918688</v>
      </c>
      <c r="BC34" s="47">
        <f t="shared" si="26"/>
        <v>1.4114611602602465</v>
      </c>
      <c r="BD34" s="47">
        <f t="shared" si="26"/>
        <v>1.4337454915635324</v>
      </c>
      <c r="BE34" s="47">
        <f t="shared" si="26"/>
        <v>1.4563816507708487</v>
      </c>
      <c r="BF34" s="47">
        <f t="shared" si="26"/>
        <v>1.4793751925866365</v>
      </c>
      <c r="BG34" s="47">
        <f t="shared" si="26"/>
        <v>1.5027317594137282</v>
      </c>
      <c r="BH34" s="47">
        <f t="shared" si="26"/>
        <v>1.5264570827379427</v>
      </c>
      <c r="BI34" s="47">
        <f t="shared" si="26"/>
        <v>1.5505569845345375</v>
      </c>
      <c r="BJ34" s="47">
        <f t="shared" si="26"/>
        <v>1.5750373786968681</v>
      </c>
      <c r="BK34" s="47">
        <f t="shared" ref="BK34:BY42" si="27">(1+$F$1)^(BK$3-$B34)</f>
        <v>1.599904272487604</v>
      </c>
      <c r="BL34" s="47">
        <f t="shared" si="27"/>
        <v>1.6251637680128528</v>
      </c>
      <c r="BM34" s="47">
        <f t="shared" si="27"/>
        <v>1.6508220637195639</v>
      </c>
      <c r="BN34" s="47">
        <f t="shared" si="27"/>
        <v>1.6768854559165678</v>
      </c>
      <c r="BO34" s="47">
        <f t="shared" si="27"/>
        <v>1.7033603403196329</v>
      </c>
      <c r="BP34" s="47">
        <f t="shared" si="27"/>
        <v>1.7302532136209157</v>
      </c>
      <c r="BQ34" s="47">
        <f t="shared" si="27"/>
        <v>1.7575706750831883</v>
      </c>
      <c r="BR34" s="47">
        <f t="shared" si="27"/>
        <v>1.7853194281592362</v>
      </c>
      <c r="BS34" s="47">
        <f t="shared" si="27"/>
        <v>1.8135062821368249</v>
      </c>
      <c r="BT34" s="47">
        <f t="shared" si="27"/>
        <v>1.8421381538096351</v>
      </c>
      <c r="BU34" s="47">
        <f t="shared" si="27"/>
        <v>1.8712220691745811</v>
      </c>
      <c r="BV34" s="47">
        <f t="shared" si="27"/>
        <v>1.9007651651559245</v>
      </c>
      <c r="BW34" s="47">
        <f t="shared" si="27"/>
        <v>1.9307746913566095</v>
      </c>
      <c r="BX34" s="47">
        <f t="shared" si="27"/>
        <v>1.9612580118372507</v>
      </c>
      <c r="BY34" s="47">
        <f t="shared" si="27"/>
        <v>1.9922226069232016</v>
      </c>
    </row>
    <row r="35" spans="1:77" x14ac:dyDescent="0.25">
      <c r="A35" s="118"/>
      <c r="B35" s="46">
        <v>2017</v>
      </c>
      <c r="C35" s="47">
        <f t="shared" si="21"/>
        <v>0.6153226029784904</v>
      </c>
      <c r="D35" s="47">
        <f t="shared" si="21"/>
        <v>0.62503739579690876</v>
      </c>
      <c r="E35" s="47">
        <f t="shared" si="21"/>
        <v>0.63490556702048917</v>
      </c>
      <c r="F35" s="47">
        <f t="shared" si="21"/>
        <v>0.6449295382073239</v>
      </c>
      <c r="G35" s="47">
        <f t="shared" si="21"/>
        <v>0.65511176914737856</v>
      </c>
      <c r="H35" s="47">
        <f t="shared" si="21"/>
        <v>0.66545475846610003</v>
      </c>
      <c r="I35" s="47">
        <f t="shared" si="21"/>
        <v>0.6759610442375571</v>
      </c>
      <c r="J35" s="47">
        <f t="shared" si="21"/>
        <v>0.68663320460726052</v>
      </c>
      <c r="K35" s="47">
        <f t="shared" si="21"/>
        <v>0.69747385842481502</v>
      </c>
      <c r="L35" s="47">
        <f t="shared" si="21"/>
        <v>0.70848566588656192</v>
      </c>
      <c r="M35" s="47">
        <f t="shared" si="22"/>
        <v>0.71967132918836618</v>
      </c>
      <c r="N35" s="47">
        <f t="shared" si="22"/>
        <v>0.73103359318871097</v>
      </c>
      <c r="O35" s="47">
        <f t="shared" si="22"/>
        <v>0.74257524608225933</v>
      </c>
      <c r="P35" s="47">
        <f t="shared" si="22"/>
        <v>0.75429912008405253</v>
      </c>
      <c r="Q35" s="47">
        <f t="shared" si="22"/>
        <v>0.76620809212450947</v>
      </c>
      <c r="R35" s="47">
        <f t="shared" si="22"/>
        <v>0.77830508455539782</v>
      </c>
      <c r="S35" s="47">
        <f t="shared" si="22"/>
        <v>0.79059306586695333</v>
      </c>
      <c r="T35" s="47">
        <f t="shared" si="22"/>
        <v>0.8030750514163193</v>
      </c>
      <c r="U35" s="47">
        <f t="shared" si="22"/>
        <v>0.8157541041674875</v>
      </c>
      <c r="V35" s="47">
        <f t="shared" si="22"/>
        <v>0.82863333544292095</v>
      </c>
      <c r="W35" s="47">
        <f t="shared" si="23"/>
        <v>0.84171590568704457</v>
      </c>
      <c r="X35" s="47">
        <f t="shared" si="23"/>
        <v>0.85500502524178823</v>
      </c>
      <c r="Y35" s="47">
        <f t="shared" si="23"/>
        <v>0.86850395513437495</v>
      </c>
      <c r="Z35" s="47">
        <f t="shared" si="23"/>
        <v>0.88221600787754795</v>
      </c>
      <c r="AA35" s="47">
        <f t="shared" si="23"/>
        <v>0.8961445482824294</v>
      </c>
      <c r="AB35" s="47">
        <f t="shared" si="23"/>
        <v>0.91029299428421451</v>
      </c>
      <c r="AC35" s="47">
        <f t="shared" si="23"/>
        <v>0.9246648177809017</v>
      </c>
      <c r="AD35" s="47">
        <f t="shared" si="23"/>
        <v>0.9392635454852637</v>
      </c>
      <c r="AE35" s="47">
        <f t="shared" si="23"/>
        <v>0.95409275979027042</v>
      </c>
      <c r="AF35" s="47">
        <f t="shared" si="23"/>
        <v>0.96915609964817517</v>
      </c>
      <c r="AG35" s="47">
        <f t="shared" si="24"/>
        <v>0.98445726146348034</v>
      </c>
      <c r="AH35" s="47">
        <f t="shared" si="24"/>
        <v>1</v>
      </c>
      <c r="AI35" s="47">
        <f t="shared" si="24"/>
        <v>1.0157881293022453</v>
      </c>
      <c r="AJ35" s="47">
        <f t="shared" si="24"/>
        <v>1.0318255236313549</v>
      </c>
      <c r="AK35" s="47">
        <f t="shared" si="24"/>
        <v>1.0481161184158037</v>
      </c>
      <c r="AL35" s="47">
        <f t="shared" si="24"/>
        <v>1.0646639112171199</v>
      </c>
      <c r="AM35" s="47">
        <f t="shared" si="24"/>
        <v>1.0814729627108499</v>
      </c>
      <c r="AN35" s="47">
        <f t="shared" si="24"/>
        <v>1.0985473976830111</v>
      </c>
      <c r="AO35" s="47">
        <f t="shared" si="24"/>
        <v>1.1158914060422755</v>
      </c>
      <c r="AP35" s="47">
        <f t="shared" si="24"/>
        <v>1.1335092438481353</v>
      </c>
      <c r="AQ35" s="47">
        <f t="shared" si="25"/>
        <v>1.1514052343553001</v>
      </c>
      <c r="AR35" s="47">
        <f t="shared" si="25"/>
        <v>1.1695837690745834</v>
      </c>
      <c r="AS35" s="47">
        <f t="shared" si="25"/>
        <v>1.1880493088505404</v>
      </c>
      <c r="AT35" s="47">
        <f t="shared" si="25"/>
        <v>1.2068063849561159</v>
      </c>
      <c r="AU35" s="47">
        <f t="shared" si="25"/>
        <v>1.2258596002045781</v>
      </c>
      <c r="AV35" s="47">
        <f t="shared" si="25"/>
        <v>1.2452136300790069</v>
      </c>
      <c r="AW35" s="47">
        <f t="shared" si="25"/>
        <v>1.2648732238796123</v>
      </c>
      <c r="AX35" s="47">
        <f t="shared" si="25"/>
        <v>1.2848432058891714</v>
      </c>
      <c r="AY35" s="47">
        <f t="shared" si="25"/>
        <v>1.3051284765568609</v>
      </c>
      <c r="AZ35" s="47">
        <f t="shared" si="25"/>
        <v>1.3257340137007831</v>
      </c>
      <c r="BA35" s="47">
        <f t="shared" si="26"/>
        <v>1.3466648737294755</v>
      </c>
      <c r="BB35" s="47">
        <f t="shared" si="26"/>
        <v>1.3679261928827084</v>
      </c>
      <c r="BC35" s="47">
        <f t="shared" si="26"/>
        <v>1.3895231884918688</v>
      </c>
      <c r="BD35" s="47">
        <f t="shared" si="26"/>
        <v>1.4114611602602465</v>
      </c>
      <c r="BE35" s="47">
        <f t="shared" si="26"/>
        <v>1.4337454915635324</v>
      </c>
      <c r="BF35" s="47">
        <f t="shared" si="26"/>
        <v>1.4563816507708487</v>
      </c>
      <c r="BG35" s="47">
        <f t="shared" si="26"/>
        <v>1.4793751925866365</v>
      </c>
      <c r="BH35" s="47">
        <f t="shared" si="26"/>
        <v>1.5027317594137282</v>
      </c>
      <c r="BI35" s="47">
        <f t="shared" si="26"/>
        <v>1.5264570827379427</v>
      </c>
      <c r="BJ35" s="47">
        <f t="shared" si="26"/>
        <v>1.5505569845345375</v>
      </c>
      <c r="BK35" s="47">
        <f t="shared" si="27"/>
        <v>1.5750373786968681</v>
      </c>
      <c r="BL35" s="47">
        <f t="shared" si="27"/>
        <v>1.599904272487604</v>
      </c>
      <c r="BM35" s="47">
        <f t="shared" si="27"/>
        <v>1.6251637680128528</v>
      </c>
      <c r="BN35" s="47">
        <f t="shared" si="27"/>
        <v>1.6508220637195639</v>
      </c>
      <c r="BO35" s="47">
        <f t="shared" si="27"/>
        <v>1.6768854559165678</v>
      </c>
      <c r="BP35" s="47">
        <f t="shared" si="27"/>
        <v>1.7033603403196329</v>
      </c>
      <c r="BQ35" s="47">
        <f t="shared" si="27"/>
        <v>1.7302532136209157</v>
      </c>
      <c r="BR35" s="47">
        <f t="shared" si="27"/>
        <v>1.7575706750831883</v>
      </c>
      <c r="BS35" s="47">
        <f t="shared" si="27"/>
        <v>1.7853194281592362</v>
      </c>
      <c r="BT35" s="47">
        <f t="shared" si="27"/>
        <v>1.8135062821368249</v>
      </c>
      <c r="BU35" s="47">
        <f t="shared" si="27"/>
        <v>1.8421381538096351</v>
      </c>
      <c r="BV35" s="47">
        <f t="shared" si="27"/>
        <v>1.8712220691745811</v>
      </c>
      <c r="BW35" s="47">
        <f t="shared" si="27"/>
        <v>1.9007651651559245</v>
      </c>
      <c r="BX35" s="47">
        <f t="shared" si="27"/>
        <v>1.9307746913566095</v>
      </c>
      <c r="BY35" s="47">
        <f t="shared" si="27"/>
        <v>1.9612580118372507</v>
      </c>
    </row>
    <row r="36" spans="1:77" x14ac:dyDescent="0.25">
      <c r="A36" s="118"/>
      <c r="B36" s="46">
        <v>2018</v>
      </c>
      <c r="C36" s="47">
        <f t="shared" si="21"/>
        <v>0.60575880464478493</v>
      </c>
      <c r="D36" s="47">
        <f t="shared" si="21"/>
        <v>0.6153226029784904</v>
      </c>
      <c r="E36" s="47">
        <f t="shared" si="21"/>
        <v>0.62503739579690876</v>
      </c>
      <c r="F36" s="47">
        <f t="shared" si="21"/>
        <v>0.63490556702048917</v>
      </c>
      <c r="G36" s="47">
        <f t="shared" si="21"/>
        <v>0.6449295382073239</v>
      </c>
      <c r="H36" s="47">
        <f t="shared" si="21"/>
        <v>0.65511176914737856</v>
      </c>
      <c r="I36" s="47">
        <f t="shared" si="21"/>
        <v>0.66545475846610003</v>
      </c>
      <c r="J36" s="47">
        <f t="shared" si="21"/>
        <v>0.6759610442375571</v>
      </c>
      <c r="K36" s="47">
        <f t="shared" si="21"/>
        <v>0.68663320460726052</v>
      </c>
      <c r="L36" s="47">
        <f t="shared" si="21"/>
        <v>0.69747385842481502</v>
      </c>
      <c r="M36" s="47">
        <f t="shared" si="22"/>
        <v>0.70848566588656192</v>
      </c>
      <c r="N36" s="47">
        <f t="shared" si="22"/>
        <v>0.71967132918836618</v>
      </c>
      <c r="O36" s="47">
        <f t="shared" si="22"/>
        <v>0.73103359318871097</v>
      </c>
      <c r="P36" s="47">
        <f t="shared" si="22"/>
        <v>0.74257524608225933</v>
      </c>
      <c r="Q36" s="47">
        <f t="shared" si="22"/>
        <v>0.75429912008405253</v>
      </c>
      <c r="R36" s="47">
        <f t="shared" si="22"/>
        <v>0.76620809212450947</v>
      </c>
      <c r="S36" s="47">
        <f t="shared" si="22"/>
        <v>0.77830508455539782</v>
      </c>
      <c r="T36" s="47">
        <f t="shared" si="22"/>
        <v>0.79059306586695333</v>
      </c>
      <c r="U36" s="47">
        <f t="shared" si="22"/>
        <v>0.8030750514163193</v>
      </c>
      <c r="V36" s="47">
        <f t="shared" si="22"/>
        <v>0.8157541041674875</v>
      </c>
      <c r="W36" s="47">
        <f t="shared" si="23"/>
        <v>0.82863333544292095</v>
      </c>
      <c r="X36" s="47">
        <f t="shared" si="23"/>
        <v>0.84171590568704457</v>
      </c>
      <c r="Y36" s="47">
        <f t="shared" si="23"/>
        <v>0.85500502524178823</v>
      </c>
      <c r="Z36" s="47">
        <f t="shared" si="23"/>
        <v>0.86850395513437495</v>
      </c>
      <c r="AA36" s="47">
        <f t="shared" si="23"/>
        <v>0.88221600787754795</v>
      </c>
      <c r="AB36" s="47">
        <f t="shared" si="23"/>
        <v>0.8961445482824294</v>
      </c>
      <c r="AC36" s="47">
        <f t="shared" si="23"/>
        <v>0.91029299428421451</v>
      </c>
      <c r="AD36" s="47">
        <f t="shared" si="23"/>
        <v>0.9246648177809017</v>
      </c>
      <c r="AE36" s="47">
        <f t="shared" si="23"/>
        <v>0.9392635454852637</v>
      </c>
      <c r="AF36" s="47">
        <f t="shared" si="23"/>
        <v>0.95409275979027042</v>
      </c>
      <c r="AG36" s="47">
        <f t="shared" si="24"/>
        <v>0.96915609964817517</v>
      </c>
      <c r="AH36" s="47">
        <f t="shared" si="24"/>
        <v>0.98445726146348034</v>
      </c>
      <c r="AI36" s="47">
        <f t="shared" si="24"/>
        <v>1</v>
      </c>
      <c r="AJ36" s="47">
        <f t="shared" si="24"/>
        <v>1.0157881293022453</v>
      </c>
      <c r="AK36" s="47">
        <f t="shared" si="24"/>
        <v>1.0318255236313549</v>
      </c>
      <c r="AL36" s="47">
        <f t="shared" si="24"/>
        <v>1.0481161184158037</v>
      </c>
      <c r="AM36" s="47">
        <f t="shared" si="24"/>
        <v>1.0646639112171199</v>
      </c>
      <c r="AN36" s="47">
        <f t="shared" si="24"/>
        <v>1.0814729627108499</v>
      </c>
      <c r="AO36" s="47">
        <f t="shared" si="24"/>
        <v>1.0985473976830111</v>
      </c>
      <c r="AP36" s="47">
        <f t="shared" si="24"/>
        <v>1.1158914060422755</v>
      </c>
      <c r="AQ36" s="47">
        <f t="shared" si="25"/>
        <v>1.1335092438481353</v>
      </c>
      <c r="AR36" s="47">
        <f t="shared" si="25"/>
        <v>1.1514052343553001</v>
      </c>
      <c r="AS36" s="47">
        <f t="shared" si="25"/>
        <v>1.1695837690745834</v>
      </c>
      <c r="AT36" s="47">
        <f t="shared" si="25"/>
        <v>1.1880493088505404</v>
      </c>
      <c r="AU36" s="47">
        <f t="shared" si="25"/>
        <v>1.2068063849561159</v>
      </c>
      <c r="AV36" s="47">
        <f t="shared" si="25"/>
        <v>1.2258596002045781</v>
      </c>
      <c r="AW36" s="47">
        <f t="shared" si="25"/>
        <v>1.2452136300790069</v>
      </c>
      <c r="AX36" s="47">
        <f t="shared" si="25"/>
        <v>1.2648732238796123</v>
      </c>
      <c r="AY36" s="47">
        <f t="shared" si="25"/>
        <v>1.2848432058891714</v>
      </c>
      <c r="AZ36" s="47">
        <f t="shared" si="25"/>
        <v>1.3051284765568609</v>
      </c>
      <c r="BA36" s="47">
        <f t="shared" si="26"/>
        <v>1.3257340137007831</v>
      </c>
      <c r="BB36" s="47">
        <f t="shared" si="26"/>
        <v>1.3466648737294755</v>
      </c>
      <c r="BC36" s="47">
        <f t="shared" si="26"/>
        <v>1.3679261928827084</v>
      </c>
      <c r="BD36" s="47">
        <f t="shared" si="26"/>
        <v>1.3895231884918688</v>
      </c>
      <c r="BE36" s="47">
        <f t="shared" si="26"/>
        <v>1.4114611602602465</v>
      </c>
      <c r="BF36" s="47">
        <f t="shared" si="26"/>
        <v>1.4337454915635324</v>
      </c>
      <c r="BG36" s="47">
        <f t="shared" si="26"/>
        <v>1.4563816507708487</v>
      </c>
      <c r="BH36" s="47">
        <f t="shared" si="26"/>
        <v>1.4793751925866365</v>
      </c>
      <c r="BI36" s="47">
        <f t="shared" si="26"/>
        <v>1.5027317594137282</v>
      </c>
      <c r="BJ36" s="47">
        <f t="shared" si="26"/>
        <v>1.5264570827379427</v>
      </c>
      <c r="BK36" s="47">
        <f t="shared" si="27"/>
        <v>1.5505569845345375</v>
      </c>
      <c r="BL36" s="47">
        <f t="shared" si="27"/>
        <v>1.5750373786968681</v>
      </c>
      <c r="BM36" s="47">
        <f t="shared" si="27"/>
        <v>1.599904272487604</v>
      </c>
      <c r="BN36" s="47">
        <f t="shared" si="27"/>
        <v>1.6251637680128528</v>
      </c>
      <c r="BO36" s="47">
        <f t="shared" si="27"/>
        <v>1.6508220637195639</v>
      </c>
      <c r="BP36" s="47">
        <f t="shared" si="27"/>
        <v>1.6768854559165678</v>
      </c>
      <c r="BQ36" s="47">
        <f t="shared" si="27"/>
        <v>1.7033603403196329</v>
      </c>
      <c r="BR36" s="47">
        <f t="shared" si="27"/>
        <v>1.7302532136209157</v>
      </c>
      <c r="BS36" s="47">
        <f t="shared" si="27"/>
        <v>1.7575706750831883</v>
      </c>
      <c r="BT36" s="47">
        <f t="shared" si="27"/>
        <v>1.7853194281592362</v>
      </c>
      <c r="BU36" s="47">
        <f t="shared" si="27"/>
        <v>1.8135062821368249</v>
      </c>
      <c r="BV36" s="47">
        <f t="shared" si="27"/>
        <v>1.8421381538096351</v>
      </c>
      <c r="BW36" s="47">
        <f t="shared" si="27"/>
        <v>1.8712220691745811</v>
      </c>
      <c r="BX36" s="47">
        <f t="shared" si="27"/>
        <v>1.9007651651559245</v>
      </c>
      <c r="BY36" s="47">
        <f t="shared" si="27"/>
        <v>1.9307746913566095</v>
      </c>
    </row>
    <row r="37" spans="1:77" x14ac:dyDescent="0.25">
      <c r="A37" s="118"/>
      <c r="B37" s="46">
        <v>2019</v>
      </c>
      <c r="C37" s="47">
        <f t="shared" si="21"/>
        <v>0.59634365392799626</v>
      </c>
      <c r="D37" s="47">
        <f t="shared" si="21"/>
        <v>0.60575880464478493</v>
      </c>
      <c r="E37" s="47">
        <f t="shared" si="21"/>
        <v>0.6153226029784904</v>
      </c>
      <c r="F37" s="47">
        <f t="shared" si="21"/>
        <v>0.62503739579690876</v>
      </c>
      <c r="G37" s="47">
        <f t="shared" si="21"/>
        <v>0.63490556702048917</v>
      </c>
      <c r="H37" s="47">
        <f t="shared" si="21"/>
        <v>0.6449295382073239</v>
      </c>
      <c r="I37" s="47">
        <f t="shared" si="21"/>
        <v>0.65511176914737856</v>
      </c>
      <c r="J37" s="47">
        <f t="shared" si="21"/>
        <v>0.66545475846610003</v>
      </c>
      <c r="K37" s="47">
        <f t="shared" si="21"/>
        <v>0.6759610442375571</v>
      </c>
      <c r="L37" s="47">
        <f t="shared" si="21"/>
        <v>0.68663320460726052</v>
      </c>
      <c r="M37" s="47">
        <f t="shared" si="22"/>
        <v>0.69747385842481502</v>
      </c>
      <c r="N37" s="47">
        <f t="shared" si="22"/>
        <v>0.70848566588656192</v>
      </c>
      <c r="O37" s="47">
        <f t="shared" si="22"/>
        <v>0.71967132918836618</v>
      </c>
      <c r="P37" s="47">
        <f t="shared" si="22"/>
        <v>0.73103359318871097</v>
      </c>
      <c r="Q37" s="47">
        <f t="shared" si="22"/>
        <v>0.74257524608225933</v>
      </c>
      <c r="R37" s="47">
        <f t="shared" si="22"/>
        <v>0.75429912008405253</v>
      </c>
      <c r="S37" s="47">
        <f t="shared" si="22"/>
        <v>0.76620809212450947</v>
      </c>
      <c r="T37" s="47">
        <f t="shared" si="22"/>
        <v>0.77830508455539782</v>
      </c>
      <c r="U37" s="47">
        <f t="shared" si="22"/>
        <v>0.79059306586695333</v>
      </c>
      <c r="V37" s="47">
        <f t="shared" si="22"/>
        <v>0.8030750514163193</v>
      </c>
      <c r="W37" s="47">
        <f t="shared" si="23"/>
        <v>0.8157541041674875</v>
      </c>
      <c r="X37" s="47">
        <f t="shared" si="23"/>
        <v>0.82863333544292095</v>
      </c>
      <c r="Y37" s="47">
        <f t="shared" si="23"/>
        <v>0.84171590568704457</v>
      </c>
      <c r="Z37" s="47">
        <f t="shared" si="23"/>
        <v>0.85500502524178823</v>
      </c>
      <c r="AA37" s="47">
        <f t="shared" si="23"/>
        <v>0.86850395513437495</v>
      </c>
      <c r="AB37" s="47">
        <f t="shared" si="23"/>
        <v>0.88221600787754795</v>
      </c>
      <c r="AC37" s="47">
        <f t="shared" si="23"/>
        <v>0.8961445482824294</v>
      </c>
      <c r="AD37" s="47">
        <f t="shared" si="23"/>
        <v>0.91029299428421451</v>
      </c>
      <c r="AE37" s="47">
        <f t="shared" si="23"/>
        <v>0.9246648177809017</v>
      </c>
      <c r="AF37" s="47">
        <f t="shared" si="23"/>
        <v>0.9392635454852637</v>
      </c>
      <c r="AG37" s="47">
        <f t="shared" si="24"/>
        <v>0.95409275979027042</v>
      </c>
      <c r="AH37" s="47">
        <f t="shared" si="24"/>
        <v>0.96915609964817517</v>
      </c>
      <c r="AI37" s="47">
        <f t="shared" si="24"/>
        <v>0.98445726146348034</v>
      </c>
      <c r="AJ37" s="47">
        <f t="shared" si="24"/>
        <v>1</v>
      </c>
      <c r="AK37" s="47">
        <f t="shared" si="24"/>
        <v>1.0157881293022453</v>
      </c>
      <c r="AL37" s="47">
        <f t="shared" si="24"/>
        <v>1.0318255236313549</v>
      </c>
      <c r="AM37" s="47">
        <f t="shared" si="24"/>
        <v>1.0481161184158037</v>
      </c>
      <c r="AN37" s="47">
        <f t="shared" si="24"/>
        <v>1.0646639112171199</v>
      </c>
      <c r="AO37" s="47">
        <f t="shared" si="24"/>
        <v>1.0814729627108499</v>
      </c>
      <c r="AP37" s="47">
        <f t="shared" si="24"/>
        <v>1.0985473976830111</v>
      </c>
      <c r="AQ37" s="47">
        <f t="shared" si="25"/>
        <v>1.1158914060422755</v>
      </c>
      <c r="AR37" s="47">
        <f t="shared" si="25"/>
        <v>1.1335092438481353</v>
      </c>
      <c r="AS37" s="47">
        <f t="shared" si="25"/>
        <v>1.1514052343553001</v>
      </c>
      <c r="AT37" s="47">
        <f t="shared" si="25"/>
        <v>1.1695837690745834</v>
      </c>
      <c r="AU37" s="47">
        <f t="shared" si="25"/>
        <v>1.1880493088505404</v>
      </c>
      <c r="AV37" s="47">
        <f t="shared" si="25"/>
        <v>1.2068063849561159</v>
      </c>
      <c r="AW37" s="47">
        <f t="shared" si="25"/>
        <v>1.2258596002045781</v>
      </c>
      <c r="AX37" s="47">
        <f t="shared" si="25"/>
        <v>1.2452136300790069</v>
      </c>
      <c r="AY37" s="47">
        <f t="shared" si="25"/>
        <v>1.2648732238796123</v>
      </c>
      <c r="AZ37" s="47">
        <f t="shared" si="25"/>
        <v>1.2848432058891714</v>
      </c>
      <c r="BA37" s="47">
        <f t="shared" si="26"/>
        <v>1.3051284765568609</v>
      </c>
      <c r="BB37" s="47">
        <f t="shared" si="26"/>
        <v>1.3257340137007831</v>
      </c>
      <c r="BC37" s="47">
        <f t="shared" si="26"/>
        <v>1.3466648737294755</v>
      </c>
      <c r="BD37" s="47">
        <f t="shared" si="26"/>
        <v>1.3679261928827084</v>
      </c>
      <c r="BE37" s="47">
        <f t="shared" si="26"/>
        <v>1.3895231884918688</v>
      </c>
      <c r="BF37" s="47">
        <f t="shared" si="26"/>
        <v>1.4114611602602465</v>
      </c>
      <c r="BG37" s="47">
        <f t="shared" si="26"/>
        <v>1.4337454915635324</v>
      </c>
      <c r="BH37" s="47">
        <f t="shared" si="26"/>
        <v>1.4563816507708487</v>
      </c>
      <c r="BI37" s="47">
        <f t="shared" si="26"/>
        <v>1.4793751925866365</v>
      </c>
      <c r="BJ37" s="47">
        <f t="shared" si="26"/>
        <v>1.5027317594137282</v>
      </c>
      <c r="BK37" s="47">
        <f t="shared" si="27"/>
        <v>1.5264570827379427</v>
      </c>
      <c r="BL37" s="47">
        <f t="shared" si="27"/>
        <v>1.5505569845345375</v>
      </c>
      <c r="BM37" s="47">
        <f t="shared" si="27"/>
        <v>1.5750373786968681</v>
      </c>
      <c r="BN37" s="47">
        <f t="shared" si="27"/>
        <v>1.599904272487604</v>
      </c>
      <c r="BO37" s="47">
        <f t="shared" si="27"/>
        <v>1.6251637680128528</v>
      </c>
      <c r="BP37" s="47">
        <f t="shared" si="27"/>
        <v>1.6508220637195639</v>
      </c>
      <c r="BQ37" s="47">
        <f t="shared" si="27"/>
        <v>1.6768854559165678</v>
      </c>
      <c r="BR37" s="47">
        <f t="shared" si="27"/>
        <v>1.7033603403196329</v>
      </c>
      <c r="BS37" s="47">
        <f t="shared" si="27"/>
        <v>1.7302532136209157</v>
      </c>
      <c r="BT37" s="47">
        <f t="shared" si="27"/>
        <v>1.7575706750831883</v>
      </c>
      <c r="BU37" s="47">
        <f t="shared" si="27"/>
        <v>1.7853194281592362</v>
      </c>
      <c r="BV37" s="47">
        <f t="shared" si="27"/>
        <v>1.8135062821368249</v>
      </c>
      <c r="BW37" s="47">
        <f t="shared" si="27"/>
        <v>1.8421381538096351</v>
      </c>
      <c r="BX37" s="47">
        <f t="shared" si="27"/>
        <v>1.8712220691745811</v>
      </c>
      <c r="BY37" s="47">
        <f t="shared" si="27"/>
        <v>1.9007651651559245</v>
      </c>
    </row>
    <row r="38" spans="1:77" x14ac:dyDescent="0.25">
      <c r="A38" s="118"/>
      <c r="B38" s="46">
        <v>2020</v>
      </c>
      <c r="C38" s="47">
        <f t="shared" si="21"/>
        <v>0.58707484043708069</v>
      </c>
      <c r="D38" s="47">
        <f t="shared" si="21"/>
        <v>0.59634365392799626</v>
      </c>
      <c r="E38" s="47">
        <f t="shared" si="21"/>
        <v>0.60575880464478493</v>
      </c>
      <c r="F38" s="47">
        <f t="shared" si="21"/>
        <v>0.6153226029784904</v>
      </c>
      <c r="G38" s="47">
        <f t="shared" si="21"/>
        <v>0.62503739579690876</v>
      </c>
      <c r="H38" s="47">
        <f t="shared" si="21"/>
        <v>0.63490556702048917</v>
      </c>
      <c r="I38" s="47">
        <f t="shared" si="21"/>
        <v>0.6449295382073239</v>
      </c>
      <c r="J38" s="47">
        <f t="shared" si="21"/>
        <v>0.65511176914737856</v>
      </c>
      <c r="K38" s="47">
        <f t="shared" si="21"/>
        <v>0.66545475846610003</v>
      </c>
      <c r="L38" s="47">
        <f t="shared" si="21"/>
        <v>0.6759610442375571</v>
      </c>
      <c r="M38" s="47">
        <f t="shared" si="22"/>
        <v>0.68663320460726052</v>
      </c>
      <c r="N38" s="47">
        <f t="shared" si="22"/>
        <v>0.69747385842481502</v>
      </c>
      <c r="O38" s="47">
        <f t="shared" si="22"/>
        <v>0.70848566588656192</v>
      </c>
      <c r="P38" s="47">
        <f t="shared" si="22"/>
        <v>0.71967132918836618</v>
      </c>
      <c r="Q38" s="47">
        <f t="shared" si="22"/>
        <v>0.73103359318871097</v>
      </c>
      <c r="R38" s="47">
        <f t="shared" si="22"/>
        <v>0.74257524608225933</v>
      </c>
      <c r="S38" s="47">
        <f t="shared" si="22"/>
        <v>0.75429912008405253</v>
      </c>
      <c r="T38" s="47">
        <f t="shared" si="22"/>
        <v>0.76620809212450947</v>
      </c>
      <c r="U38" s="47">
        <f t="shared" si="22"/>
        <v>0.77830508455539782</v>
      </c>
      <c r="V38" s="47">
        <f t="shared" si="22"/>
        <v>0.79059306586695333</v>
      </c>
      <c r="W38" s="47">
        <f t="shared" si="23"/>
        <v>0.8030750514163193</v>
      </c>
      <c r="X38" s="47">
        <f t="shared" si="23"/>
        <v>0.8157541041674875</v>
      </c>
      <c r="Y38" s="47">
        <f t="shared" si="23"/>
        <v>0.82863333544292095</v>
      </c>
      <c r="Z38" s="47">
        <f t="shared" si="23"/>
        <v>0.84171590568704457</v>
      </c>
      <c r="AA38" s="47">
        <f t="shared" si="23"/>
        <v>0.85500502524178823</v>
      </c>
      <c r="AB38" s="47">
        <f t="shared" si="23"/>
        <v>0.86850395513437495</v>
      </c>
      <c r="AC38" s="47">
        <f t="shared" si="23"/>
        <v>0.88221600787754795</v>
      </c>
      <c r="AD38" s="47">
        <f t="shared" si="23"/>
        <v>0.8961445482824294</v>
      </c>
      <c r="AE38" s="47">
        <f t="shared" si="23"/>
        <v>0.91029299428421451</v>
      </c>
      <c r="AF38" s="47">
        <f t="shared" si="23"/>
        <v>0.9246648177809017</v>
      </c>
      <c r="AG38" s="47">
        <f t="shared" si="24"/>
        <v>0.9392635454852637</v>
      </c>
      <c r="AH38" s="47">
        <f t="shared" si="24"/>
        <v>0.95409275979027042</v>
      </c>
      <c r="AI38" s="47">
        <f t="shared" si="24"/>
        <v>0.96915609964817517</v>
      </c>
      <c r="AJ38" s="47">
        <f t="shared" si="24"/>
        <v>0.98445726146348034</v>
      </c>
      <c r="AK38" s="47">
        <f t="shared" si="24"/>
        <v>1</v>
      </c>
      <c r="AL38" s="47">
        <f t="shared" si="24"/>
        <v>1.0157881293022453</v>
      </c>
      <c r="AM38" s="47">
        <f t="shared" si="24"/>
        <v>1.0318255236313549</v>
      </c>
      <c r="AN38" s="47">
        <f t="shared" si="24"/>
        <v>1.0481161184158037</v>
      </c>
      <c r="AO38" s="47">
        <f t="shared" si="24"/>
        <v>1.0646639112171199</v>
      </c>
      <c r="AP38" s="47">
        <f t="shared" si="24"/>
        <v>1.0814729627108499</v>
      </c>
      <c r="AQ38" s="47">
        <f t="shared" si="25"/>
        <v>1.0985473976830111</v>
      </c>
      <c r="AR38" s="47">
        <f t="shared" si="25"/>
        <v>1.1158914060422755</v>
      </c>
      <c r="AS38" s="47">
        <f t="shared" si="25"/>
        <v>1.1335092438481353</v>
      </c>
      <c r="AT38" s="47">
        <f t="shared" si="25"/>
        <v>1.1514052343553001</v>
      </c>
      <c r="AU38" s="47">
        <f t="shared" si="25"/>
        <v>1.1695837690745834</v>
      </c>
      <c r="AV38" s="47">
        <f t="shared" si="25"/>
        <v>1.1880493088505404</v>
      </c>
      <c r="AW38" s="47">
        <f t="shared" si="25"/>
        <v>1.2068063849561159</v>
      </c>
      <c r="AX38" s="47">
        <f t="shared" si="25"/>
        <v>1.2258596002045781</v>
      </c>
      <c r="AY38" s="47">
        <f t="shared" si="25"/>
        <v>1.2452136300790069</v>
      </c>
      <c r="AZ38" s="47">
        <f t="shared" si="25"/>
        <v>1.2648732238796123</v>
      </c>
      <c r="BA38" s="47">
        <f t="shared" si="26"/>
        <v>1.2848432058891714</v>
      </c>
      <c r="BB38" s="47">
        <f t="shared" si="26"/>
        <v>1.3051284765568609</v>
      </c>
      <c r="BC38" s="47">
        <f t="shared" si="26"/>
        <v>1.3257340137007831</v>
      </c>
      <c r="BD38" s="47">
        <f t="shared" si="26"/>
        <v>1.3466648737294755</v>
      </c>
      <c r="BE38" s="47">
        <f t="shared" si="26"/>
        <v>1.3679261928827084</v>
      </c>
      <c r="BF38" s="47">
        <f t="shared" si="26"/>
        <v>1.3895231884918688</v>
      </c>
      <c r="BG38" s="47">
        <f t="shared" si="26"/>
        <v>1.4114611602602465</v>
      </c>
      <c r="BH38" s="47">
        <f t="shared" si="26"/>
        <v>1.4337454915635324</v>
      </c>
      <c r="BI38" s="47">
        <f t="shared" si="26"/>
        <v>1.4563816507708487</v>
      </c>
      <c r="BJ38" s="47">
        <f t="shared" si="26"/>
        <v>1.4793751925866365</v>
      </c>
      <c r="BK38" s="47">
        <f t="shared" si="27"/>
        <v>1.5027317594137282</v>
      </c>
      <c r="BL38" s="47">
        <f t="shared" si="27"/>
        <v>1.5264570827379427</v>
      </c>
      <c r="BM38" s="47">
        <f t="shared" si="27"/>
        <v>1.5505569845345375</v>
      </c>
      <c r="BN38" s="47">
        <f t="shared" si="27"/>
        <v>1.5750373786968681</v>
      </c>
      <c r="BO38" s="47">
        <f t="shared" si="27"/>
        <v>1.599904272487604</v>
      </c>
      <c r="BP38" s="47">
        <f t="shared" si="27"/>
        <v>1.6251637680128528</v>
      </c>
      <c r="BQ38" s="47">
        <f t="shared" si="27"/>
        <v>1.6508220637195639</v>
      </c>
      <c r="BR38" s="47">
        <f t="shared" si="27"/>
        <v>1.6768854559165678</v>
      </c>
      <c r="BS38" s="47">
        <f t="shared" si="27"/>
        <v>1.7033603403196329</v>
      </c>
      <c r="BT38" s="47">
        <f t="shared" si="27"/>
        <v>1.7302532136209157</v>
      </c>
      <c r="BU38" s="47">
        <f t="shared" si="27"/>
        <v>1.7575706750831883</v>
      </c>
      <c r="BV38" s="47">
        <f t="shared" si="27"/>
        <v>1.7853194281592362</v>
      </c>
      <c r="BW38" s="47">
        <f t="shared" si="27"/>
        <v>1.8135062821368249</v>
      </c>
      <c r="BX38" s="47">
        <f t="shared" si="27"/>
        <v>1.8421381538096351</v>
      </c>
      <c r="BY38" s="47">
        <f t="shared" si="27"/>
        <v>1.8712220691745811</v>
      </c>
    </row>
    <row r="39" spans="1:77" x14ac:dyDescent="0.25">
      <c r="A39" s="118"/>
      <c r="B39" s="46">
        <v>2021</v>
      </c>
      <c r="C39" s="47">
        <f t="shared" si="21"/>
        <v>0.5779500896907982</v>
      </c>
      <c r="D39" s="47">
        <f t="shared" si="21"/>
        <v>0.58707484043708069</v>
      </c>
      <c r="E39" s="47">
        <f t="shared" si="21"/>
        <v>0.59634365392799626</v>
      </c>
      <c r="F39" s="47">
        <f t="shared" si="21"/>
        <v>0.60575880464478493</v>
      </c>
      <c r="G39" s="47">
        <f t="shared" si="21"/>
        <v>0.6153226029784904</v>
      </c>
      <c r="H39" s="47">
        <f t="shared" si="21"/>
        <v>0.62503739579690876</v>
      </c>
      <c r="I39" s="47">
        <f t="shared" si="21"/>
        <v>0.63490556702048917</v>
      </c>
      <c r="J39" s="47">
        <f t="shared" si="21"/>
        <v>0.6449295382073239</v>
      </c>
      <c r="K39" s="47">
        <f t="shared" si="21"/>
        <v>0.65511176914737856</v>
      </c>
      <c r="L39" s="47">
        <f t="shared" si="21"/>
        <v>0.66545475846610003</v>
      </c>
      <c r="M39" s="47">
        <f t="shared" si="22"/>
        <v>0.6759610442375571</v>
      </c>
      <c r="N39" s="47">
        <f t="shared" si="22"/>
        <v>0.68663320460726052</v>
      </c>
      <c r="O39" s="47">
        <f t="shared" si="22"/>
        <v>0.69747385842481502</v>
      </c>
      <c r="P39" s="47">
        <f t="shared" si="22"/>
        <v>0.70848566588656192</v>
      </c>
      <c r="Q39" s="47">
        <f t="shared" si="22"/>
        <v>0.71967132918836618</v>
      </c>
      <c r="R39" s="47">
        <f t="shared" si="22"/>
        <v>0.73103359318871097</v>
      </c>
      <c r="S39" s="47">
        <f t="shared" si="22"/>
        <v>0.74257524608225933</v>
      </c>
      <c r="T39" s="47">
        <f t="shared" si="22"/>
        <v>0.75429912008405253</v>
      </c>
      <c r="U39" s="47">
        <f t="shared" si="22"/>
        <v>0.76620809212450947</v>
      </c>
      <c r="V39" s="47">
        <f t="shared" si="22"/>
        <v>0.77830508455539782</v>
      </c>
      <c r="W39" s="47">
        <f t="shared" si="23"/>
        <v>0.79059306586695333</v>
      </c>
      <c r="X39" s="47">
        <f t="shared" si="23"/>
        <v>0.8030750514163193</v>
      </c>
      <c r="Y39" s="47">
        <f t="shared" si="23"/>
        <v>0.8157541041674875</v>
      </c>
      <c r="Z39" s="47">
        <f t="shared" si="23"/>
        <v>0.82863333544292095</v>
      </c>
      <c r="AA39" s="47">
        <f t="shared" si="23"/>
        <v>0.84171590568704457</v>
      </c>
      <c r="AB39" s="47">
        <f t="shared" si="23"/>
        <v>0.85500502524178823</v>
      </c>
      <c r="AC39" s="47">
        <f t="shared" si="23"/>
        <v>0.86850395513437495</v>
      </c>
      <c r="AD39" s="47">
        <f t="shared" si="23"/>
        <v>0.88221600787754795</v>
      </c>
      <c r="AE39" s="47">
        <f t="shared" si="23"/>
        <v>0.8961445482824294</v>
      </c>
      <c r="AF39" s="47">
        <f t="shared" si="23"/>
        <v>0.91029299428421451</v>
      </c>
      <c r="AG39" s="47">
        <f t="shared" si="24"/>
        <v>0.9246648177809017</v>
      </c>
      <c r="AH39" s="47">
        <f t="shared" si="24"/>
        <v>0.9392635454852637</v>
      </c>
      <c r="AI39" s="47">
        <f t="shared" si="24"/>
        <v>0.95409275979027042</v>
      </c>
      <c r="AJ39" s="47">
        <f t="shared" si="24"/>
        <v>0.96915609964817517</v>
      </c>
      <c r="AK39" s="47">
        <f t="shared" si="24"/>
        <v>0.98445726146348034</v>
      </c>
      <c r="AL39" s="47">
        <f t="shared" si="24"/>
        <v>1</v>
      </c>
      <c r="AM39" s="47">
        <f t="shared" si="24"/>
        <v>1.0157881293022453</v>
      </c>
      <c r="AN39" s="47">
        <f t="shared" si="24"/>
        <v>1.0318255236313549</v>
      </c>
      <c r="AO39" s="47">
        <f t="shared" si="24"/>
        <v>1.0481161184158037</v>
      </c>
      <c r="AP39" s="47">
        <f t="shared" si="24"/>
        <v>1.0646639112171199</v>
      </c>
      <c r="AQ39" s="47">
        <f t="shared" si="25"/>
        <v>1.0814729627108499</v>
      </c>
      <c r="AR39" s="47">
        <f t="shared" si="25"/>
        <v>1.0985473976830111</v>
      </c>
      <c r="AS39" s="47">
        <f t="shared" si="25"/>
        <v>1.1158914060422755</v>
      </c>
      <c r="AT39" s="47">
        <f t="shared" si="25"/>
        <v>1.1335092438481353</v>
      </c>
      <c r="AU39" s="47">
        <f t="shared" si="25"/>
        <v>1.1514052343553001</v>
      </c>
      <c r="AV39" s="47">
        <f t="shared" si="25"/>
        <v>1.1695837690745834</v>
      </c>
      <c r="AW39" s="47">
        <f t="shared" si="25"/>
        <v>1.1880493088505404</v>
      </c>
      <c r="AX39" s="47">
        <f t="shared" si="25"/>
        <v>1.2068063849561159</v>
      </c>
      <c r="AY39" s="47">
        <f t="shared" si="25"/>
        <v>1.2258596002045781</v>
      </c>
      <c r="AZ39" s="47">
        <f t="shared" si="25"/>
        <v>1.2452136300790069</v>
      </c>
      <c r="BA39" s="47">
        <f t="shared" si="26"/>
        <v>1.2648732238796123</v>
      </c>
      <c r="BB39" s="47">
        <f t="shared" si="26"/>
        <v>1.2848432058891714</v>
      </c>
      <c r="BC39" s="47">
        <f t="shared" si="26"/>
        <v>1.3051284765568609</v>
      </c>
      <c r="BD39" s="47">
        <f t="shared" si="26"/>
        <v>1.3257340137007831</v>
      </c>
      <c r="BE39" s="47">
        <f t="shared" si="26"/>
        <v>1.3466648737294755</v>
      </c>
      <c r="BF39" s="47">
        <f t="shared" si="26"/>
        <v>1.3679261928827084</v>
      </c>
      <c r="BG39" s="47">
        <f t="shared" si="26"/>
        <v>1.3895231884918688</v>
      </c>
      <c r="BH39" s="47">
        <f t="shared" si="26"/>
        <v>1.4114611602602465</v>
      </c>
      <c r="BI39" s="47">
        <f t="shared" si="26"/>
        <v>1.4337454915635324</v>
      </c>
      <c r="BJ39" s="47">
        <f t="shared" si="26"/>
        <v>1.4563816507708487</v>
      </c>
      <c r="BK39" s="47">
        <f t="shared" si="27"/>
        <v>1.4793751925866365</v>
      </c>
      <c r="BL39" s="47">
        <f t="shared" si="27"/>
        <v>1.5027317594137282</v>
      </c>
      <c r="BM39" s="47">
        <f t="shared" si="27"/>
        <v>1.5264570827379427</v>
      </c>
      <c r="BN39" s="47">
        <f t="shared" si="27"/>
        <v>1.5505569845345375</v>
      </c>
      <c r="BO39" s="47">
        <f t="shared" si="27"/>
        <v>1.5750373786968681</v>
      </c>
      <c r="BP39" s="47">
        <f t="shared" si="27"/>
        <v>1.599904272487604</v>
      </c>
      <c r="BQ39" s="47">
        <f t="shared" si="27"/>
        <v>1.6251637680128528</v>
      </c>
      <c r="BR39" s="47">
        <f t="shared" si="27"/>
        <v>1.6508220637195639</v>
      </c>
      <c r="BS39" s="47">
        <f t="shared" si="27"/>
        <v>1.6768854559165678</v>
      </c>
      <c r="BT39" s="47">
        <f t="shared" si="27"/>
        <v>1.7033603403196329</v>
      </c>
      <c r="BU39" s="47">
        <f t="shared" si="27"/>
        <v>1.7302532136209157</v>
      </c>
      <c r="BV39" s="47">
        <f t="shared" si="27"/>
        <v>1.7575706750831883</v>
      </c>
      <c r="BW39" s="47">
        <f t="shared" si="27"/>
        <v>1.7853194281592362</v>
      </c>
      <c r="BX39" s="47">
        <f t="shared" si="27"/>
        <v>1.8135062821368249</v>
      </c>
      <c r="BY39" s="47">
        <f t="shared" si="27"/>
        <v>1.8421381538096351</v>
      </c>
    </row>
    <row r="40" spans="1:77" x14ac:dyDescent="0.25">
      <c r="A40" s="118"/>
      <c r="B40" s="46">
        <v>2022</v>
      </c>
      <c r="C40" s="47">
        <f t="shared" si="21"/>
        <v>0.56896716255957591</v>
      </c>
      <c r="D40" s="47">
        <f t="shared" si="21"/>
        <v>0.5779500896907982</v>
      </c>
      <c r="E40" s="47">
        <f t="shared" si="21"/>
        <v>0.58707484043708069</v>
      </c>
      <c r="F40" s="47">
        <f t="shared" si="21"/>
        <v>0.59634365392799626</v>
      </c>
      <c r="G40" s="47">
        <f t="shared" si="21"/>
        <v>0.60575880464478493</v>
      </c>
      <c r="H40" s="47">
        <f t="shared" si="21"/>
        <v>0.6153226029784904</v>
      </c>
      <c r="I40" s="47">
        <f t="shared" si="21"/>
        <v>0.62503739579690876</v>
      </c>
      <c r="J40" s="47">
        <f t="shared" si="21"/>
        <v>0.63490556702048917</v>
      </c>
      <c r="K40" s="47">
        <f t="shared" si="21"/>
        <v>0.6449295382073239</v>
      </c>
      <c r="L40" s="47">
        <f t="shared" si="21"/>
        <v>0.65511176914737856</v>
      </c>
      <c r="M40" s="47">
        <f t="shared" si="22"/>
        <v>0.66545475846610003</v>
      </c>
      <c r="N40" s="47">
        <f t="shared" si="22"/>
        <v>0.6759610442375571</v>
      </c>
      <c r="O40" s="47">
        <f t="shared" si="22"/>
        <v>0.68663320460726052</v>
      </c>
      <c r="P40" s="47">
        <f t="shared" si="22"/>
        <v>0.69747385842481502</v>
      </c>
      <c r="Q40" s="47">
        <f t="shared" si="22"/>
        <v>0.70848566588656192</v>
      </c>
      <c r="R40" s="47">
        <f t="shared" si="22"/>
        <v>0.71967132918836618</v>
      </c>
      <c r="S40" s="47">
        <f t="shared" si="22"/>
        <v>0.73103359318871097</v>
      </c>
      <c r="T40" s="47">
        <f t="shared" si="22"/>
        <v>0.74257524608225933</v>
      </c>
      <c r="U40" s="47">
        <f t="shared" si="22"/>
        <v>0.75429912008405253</v>
      </c>
      <c r="V40" s="47">
        <f t="shared" si="22"/>
        <v>0.76620809212450947</v>
      </c>
      <c r="W40" s="47">
        <f t="shared" si="23"/>
        <v>0.77830508455539782</v>
      </c>
      <c r="X40" s="47">
        <f t="shared" si="23"/>
        <v>0.79059306586695333</v>
      </c>
      <c r="Y40" s="47">
        <f t="shared" si="23"/>
        <v>0.8030750514163193</v>
      </c>
      <c r="Z40" s="47">
        <f t="shared" si="23"/>
        <v>0.8157541041674875</v>
      </c>
      <c r="AA40" s="47">
        <f t="shared" si="23"/>
        <v>0.82863333544292095</v>
      </c>
      <c r="AB40" s="47">
        <f t="shared" si="23"/>
        <v>0.84171590568704457</v>
      </c>
      <c r="AC40" s="47">
        <f t="shared" si="23"/>
        <v>0.85500502524178823</v>
      </c>
      <c r="AD40" s="47">
        <f t="shared" si="23"/>
        <v>0.86850395513437495</v>
      </c>
      <c r="AE40" s="47">
        <f t="shared" si="23"/>
        <v>0.88221600787754795</v>
      </c>
      <c r="AF40" s="47">
        <f t="shared" si="23"/>
        <v>0.8961445482824294</v>
      </c>
      <c r="AG40" s="47">
        <f t="shared" si="24"/>
        <v>0.91029299428421451</v>
      </c>
      <c r="AH40" s="47">
        <f t="shared" si="24"/>
        <v>0.9246648177809017</v>
      </c>
      <c r="AI40" s="47">
        <f t="shared" si="24"/>
        <v>0.9392635454852637</v>
      </c>
      <c r="AJ40" s="47">
        <f t="shared" si="24"/>
        <v>0.95409275979027042</v>
      </c>
      <c r="AK40" s="47">
        <f t="shared" si="24"/>
        <v>0.96915609964817517</v>
      </c>
      <c r="AL40" s="47">
        <f t="shared" si="24"/>
        <v>0.98445726146348034</v>
      </c>
      <c r="AM40" s="47">
        <f t="shared" si="24"/>
        <v>1</v>
      </c>
      <c r="AN40" s="47">
        <f t="shared" si="24"/>
        <v>1.0157881293022453</v>
      </c>
      <c r="AO40" s="47">
        <f t="shared" si="24"/>
        <v>1.0318255236313549</v>
      </c>
      <c r="AP40" s="47">
        <f t="shared" si="24"/>
        <v>1.0481161184158037</v>
      </c>
      <c r="AQ40" s="47">
        <f t="shared" si="25"/>
        <v>1.0646639112171199</v>
      </c>
      <c r="AR40" s="47">
        <f t="shared" si="25"/>
        <v>1.0814729627108499</v>
      </c>
      <c r="AS40" s="47">
        <f t="shared" si="25"/>
        <v>1.0985473976830111</v>
      </c>
      <c r="AT40" s="47">
        <f t="shared" si="25"/>
        <v>1.1158914060422755</v>
      </c>
      <c r="AU40" s="47">
        <f t="shared" si="25"/>
        <v>1.1335092438481353</v>
      </c>
      <c r="AV40" s="47">
        <f t="shared" si="25"/>
        <v>1.1514052343553001</v>
      </c>
      <c r="AW40" s="47">
        <f t="shared" si="25"/>
        <v>1.1695837690745834</v>
      </c>
      <c r="AX40" s="47">
        <f t="shared" si="25"/>
        <v>1.1880493088505404</v>
      </c>
      <c r="AY40" s="47">
        <f t="shared" si="25"/>
        <v>1.2068063849561159</v>
      </c>
      <c r="AZ40" s="47">
        <f t="shared" si="25"/>
        <v>1.2258596002045781</v>
      </c>
      <c r="BA40" s="47">
        <f t="shared" si="26"/>
        <v>1.2452136300790069</v>
      </c>
      <c r="BB40" s="47">
        <f t="shared" si="26"/>
        <v>1.2648732238796123</v>
      </c>
      <c r="BC40" s="47">
        <f t="shared" si="26"/>
        <v>1.2848432058891714</v>
      </c>
      <c r="BD40" s="47">
        <f t="shared" si="26"/>
        <v>1.3051284765568609</v>
      </c>
      <c r="BE40" s="47">
        <f t="shared" si="26"/>
        <v>1.3257340137007831</v>
      </c>
      <c r="BF40" s="47">
        <f t="shared" si="26"/>
        <v>1.3466648737294755</v>
      </c>
      <c r="BG40" s="47">
        <f t="shared" si="26"/>
        <v>1.3679261928827084</v>
      </c>
      <c r="BH40" s="47">
        <f t="shared" si="26"/>
        <v>1.3895231884918688</v>
      </c>
      <c r="BI40" s="47">
        <f t="shared" si="26"/>
        <v>1.4114611602602465</v>
      </c>
      <c r="BJ40" s="47">
        <f t="shared" si="26"/>
        <v>1.4337454915635324</v>
      </c>
      <c r="BK40" s="47">
        <f t="shared" si="27"/>
        <v>1.4563816507708487</v>
      </c>
      <c r="BL40" s="47">
        <f t="shared" si="27"/>
        <v>1.4793751925866365</v>
      </c>
      <c r="BM40" s="47">
        <f t="shared" si="27"/>
        <v>1.5027317594137282</v>
      </c>
      <c r="BN40" s="47">
        <f t="shared" si="27"/>
        <v>1.5264570827379427</v>
      </c>
      <c r="BO40" s="47">
        <f t="shared" si="27"/>
        <v>1.5505569845345375</v>
      </c>
      <c r="BP40" s="47">
        <f t="shared" si="27"/>
        <v>1.5750373786968681</v>
      </c>
      <c r="BQ40" s="47">
        <f t="shared" si="27"/>
        <v>1.599904272487604</v>
      </c>
      <c r="BR40" s="47">
        <f t="shared" si="27"/>
        <v>1.6251637680128528</v>
      </c>
      <c r="BS40" s="47">
        <f t="shared" si="27"/>
        <v>1.6508220637195639</v>
      </c>
      <c r="BT40" s="47">
        <f t="shared" si="27"/>
        <v>1.6768854559165678</v>
      </c>
      <c r="BU40" s="47">
        <f t="shared" si="27"/>
        <v>1.7033603403196329</v>
      </c>
      <c r="BV40" s="47">
        <f t="shared" si="27"/>
        <v>1.7302532136209157</v>
      </c>
      <c r="BW40" s="47">
        <f t="shared" si="27"/>
        <v>1.7575706750831883</v>
      </c>
      <c r="BX40" s="47">
        <f t="shared" si="27"/>
        <v>1.7853194281592362</v>
      </c>
      <c r="BY40" s="47">
        <f t="shared" si="27"/>
        <v>1.8135062821368249</v>
      </c>
    </row>
    <row r="41" spans="1:77" x14ac:dyDescent="0.25">
      <c r="A41" s="118"/>
      <c r="B41" s="46">
        <v>2023</v>
      </c>
      <c r="C41" s="47">
        <f t="shared" si="21"/>
        <v>0.56012385471604698</v>
      </c>
      <c r="D41" s="47">
        <f t="shared" si="21"/>
        <v>0.56896716255957591</v>
      </c>
      <c r="E41" s="47">
        <f t="shared" si="21"/>
        <v>0.5779500896907982</v>
      </c>
      <c r="F41" s="47">
        <f t="shared" si="21"/>
        <v>0.58707484043708069</v>
      </c>
      <c r="G41" s="47">
        <f t="shared" si="21"/>
        <v>0.59634365392799626</v>
      </c>
      <c r="H41" s="47">
        <f t="shared" si="21"/>
        <v>0.60575880464478493</v>
      </c>
      <c r="I41" s="47">
        <f t="shared" si="21"/>
        <v>0.6153226029784904</v>
      </c>
      <c r="J41" s="47">
        <f t="shared" si="21"/>
        <v>0.62503739579690876</v>
      </c>
      <c r="K41" s="47">
        <f t="shared" si="21"/>
        <v>0.63490556702048917</v>
      </c>
      <c r="L41" s="47">
        <f t="shared" si="21"/>
        <v>0.6449295382073239</v>
      </c>
      <c r="M41" s="47">
        <f t="shared" si="22"/>
        <v>0.65511176914737856</v>
      </c>
      <c r="N41" s="47">
        <f t="shared" si="22"/>
        <v>0.66545475846610003</v>
      </c>
      <c r="O41" s="47">
        <f t="shared" si="22"/>
        <v>0.6759610442375571</v>
      </c>
      <c r="P41" s="47">
        <f t="shared" si="22"/>
        <v>0.68663320460726052</v>
      </c>
      <c r="Q41" s="47">
        <f t="shared" si="22"/>
        <v>0.69747385842481502</v>
      </c>
      <c r="R41" s="47">
        <f t="shared" si="22"/>
        <v>0.70848566588656192</v>
      </c>
      <c r="S41" s="47">
        <f t="shared" si="22"/>
        <v>0.71967132918836618</v>
      </c>
      <c r="T41" s="47">
        <f t="shared" si="22"/>
        <v>0.73103359318871097</v>
      </c>
      <c r="U41" s="47">
        <f t="shared" si="22"/>
        <v>0.74257524608225933</v>
      </c>
      <c r="V41" s="47">
        <f t="shared" si="22"/>
        <v>0.75429912008405253</v>
      </c>
      <c r="W41" s="47">
        <f t="shared" si="23"/>
        <v>0.76620809212450947</v>
      </c>
      <c r="X41" s="47">
        <f t="shared" si="23"/>
        <v>0.77830508455539782</v>
      </c>
      <c r="Y41" s="47">
        <f t="shared" si="23"/>
        <v>0.79059306586695333</v>
      </c>
      <c r="Z41" s="47">
        <f t="shared" si="23"/>
        <v>0.8030750514163193</v>
      </c>
      <c r="AA41" s="47">
        <f t="shared" si="23"/>
        <v>0.8157541041674875</v>
      </c>
      <c r="AB41" s="47">
        <f t="shared" si="23"/>
        <v>0.82863333544292095</v>
      </c>
      <c r="AC41" s="47">
        <f t="shared" si="23"/>
        <v>0.84171590568704457</v>
      </c>
      <c r="AD41" s="47">
        <f t="shared" si="23"/>
        <v>0.85500502524178823</v>
      </c>
      <c r="AE41" s="47">
        <f t="shared" si="23"/>
        <v>0.86850395513437495</v>
      </c>
      <c r="AF41" s="47">
        <f t="shared" si="23"/>
        <v>0.88221600787754795</v>
      </c>
      <c r="AG41" s="47">
        <f t="shared" si="24"/>
        <v>0.8961445482824294</v>
      </c>
      <c r="AH41" s="47">
        <f t="shared" si="24"/>
        <v>0.91029299428421451</v>
      </c>
      <c r="AI41" s="47">
        <f t="shared" si="24"/>
        <v>0.9246648177809017</v>
      </c>
      <c r="AJ41" s="47">
        <f t="shared" si="24"/>
        <v>0.9392635454852637</v>
      </c>
      <c r="AK41" s="47">
        <f t="shared" si="24"/>
        <v>0.95409275979027042</v>
      </c>
      <c r="AL41" s="47">
        <f t="shared" si="24"/>
        <v>0.96915609964817517</v>
      </c>
      <c r="AM41" s="47">
        <f t="shared" si="24"/>
        <v>0.98445726146348034</v>
      </c>
      <c r="AN41" s="47">
        <f t="shared" si="24"/>
        <v>1</v>
      </c>
      <c r="AO41" s="47">
        <f t="shared" si="24"/>
        <v>1.0157881293022453</v>
      </c>
      <c r="AP41" s="47">
        <f t="shared" si="24"/>
        <v>1.0318255236313549</v>
      </c>
      <c r="AQ41" s="47">
        <f t="shared" si="25"/>
        <v>1.0481161184158037</v>
      </c>
      <c r="AR41" s="47">
        <f t="shared" si="25"/>
        <v>1.0646639112171199</v>
      </c>
      <c r="AS41" s="47">
        <f t="shared" si="25"/>
        <v>1.0814729627108499</v>
      </c>
      <c r="AT41" s="47">
        <f t="shared" si="25"/>
        <v>1.0985473976830111</v>
      </c>
      <c r="AU41" s="47">
        <f t="shared" si="25"/>
        <v>1.1158914060422755</v>
      </c>
      <c r="AV41" s="47">
        <f t="shared" si="25"/>
        <v>1.1335092438481353</v>
      </c>
      <c r="AW41" s="47">
        <f t="shared" si="25"/>
        <v>1.1514052343553001</v>
      </c>
      <c r="AX41" s="47">
        <f t="shared" si="25"/>
        <v>1.1695837690745834</v>
      </c>
      <c r="AY41" s="47">
        <f t="shared" si="25"/>
        <v>1.1880493088505404</v>
      </c>
      <c r="AZ41" s="47">
        <f t="shared" si="25"/>
        <v>1.2068063849561159</v>
      </c>
      <c r="BA41" s="47">
        <f t="shared" si="26"/>
        <v>1.2258596002045781</v>
      </c>
      <c r="BB41" s="47">
        <f t="shared" si="26"/>
        <v>1.2452136300790069</v>
      </c>
      <c r="BC41" s="47">
        <f t="shared" si="26"/>
        <v>1.2648732238796123</v>
      </c>
      <c r="BD41" s="47">
        <f t="shared" si="26"/>
        <v>1.2848432058891714</v>
      </c>
      <c r="BE41" s="47">
        <f t="shared" si="26"/>
        <v>1.3051284765568609</v>
      </c>
      <c r="BF41" s="47">
        <f t="shared" si="26"/>
        <v>1.3257340137007831</v>
      </c>
      <c r="BG41" s="47">
        <f t="shared" si="26"/>
        <v>1.3466648737294755</v>
      </c>
      <c r="BH41" s="47">
        <f t="shared" si="26"/>
        <v>1.3679261928827084</v>
      </c>
      <c r="BI41" s="47">
        <f t="shared" si="26"/>
        <v>1.3895231884918688</v>
      </c>
      <c r="BJ41" s="47">
        <f t="shared" si="26"/>
        <v>1.4114611602602465</v>
      </c>
      <c r="BK41" s="47">
        <f t="shared" si="27"/>
        <v>1.4337454915635324</v>
      </c>
      <c r="BL41" s="47">
        <f t="shared" si="27"/>
        <v>1.4563816507708487</v>
      </c>
      <c r="BM41" s="47">
        <f t="shared" si="27"/>
        <v>1.4793751925866365</v>
      </c>
      <c r="BN41" s="47">
        <f t="shared" si="27"/>
        <v>1.5027317594137282</v>
      </c>
      <c r="BO41" s="47">
        <f t="shared" si="27"/>
        <v>1.5264570827379427</v>
      </c>
      <c r="BP41" s="47">
        <f t="shared" si="27"/>
        <v>1.5505569845345375</v>
      </c>
      <c r="BQ41" s="47">
        <f t="shared" si="27"/>
        <v>1.5750373786968681</v>
      </c>
      <c r="BR41" s="47">
        <f t="shared" si="27"/>
        <v>1.599904272487604</v>
      </c>
      <c r="BS41" s="47">
        <f t="shared" si="27"/>
        <v>1.6251637680128528</v>
      </c>
      <c r="BT41" s="47">
        <f t="shared" si="27"/>
        <v>1.6508220637195639</v>
      </c>
      <c r="BU41" s="47">
        <f t="shared" si="27"/>
        <v>1.6768854559165678</v>
      </c>
      <c r="BV41" s="47">
        <f t="shared" si="27"/>
        <v>1.7033603403196329</v>
      </c>
      <c r="BW41" s="47">
        <f t="shared" si="27"/>
        <v>1.7302532136209157</v>
      </c>
      <c r="BX41" s="47">
        <f t="shared" si="27"/>
        <v>1.7575706750831883</v>
      </c>
      <c r="BY41" s="47">
        <f t="shared" si="27"/>
        <v>1.7853194281592362</v>
      </c>
    </row>
    <row r="42" spans="1:77" x14ac:dyDescent="0.25">
      <c r="A42" s="118"/>
      <c r="B42" s="46">
        <v>2024</v>
      </c>
      <c r="C42" s="47">
        <f t="shared" si="21"/>
        <v>0.55141799609412789</v>
      </c>
      <c r="D42" s="47">
        <f t="shared" si="21"/>
        <v>0.56012385471604698</v>
      </c>
      <c r="E42" s="47">
        <f t="shared" si="21"/>
        <v>0.56896716255957591</v>
      </c>
      <c r="F42" s="47">
        <f t="shared" si="21"/>
        <v>0.5779500896907982</v>
      </c>
      <c r="G42" s="47">
        <f t="shared" si="21"/>
        <v>0.58707484043708069</v>
      </c>
      <c r="H42" s="47">
        <f t="shared" si="21"/>
        <v>0.59634365392799626</v>
      </c>
      <c r="I42" s="47">
        <f t="shared" si="21"/>
        <v>0.60575880464478493</v>
      </c>
      <c r="J42" s="47">
        <f t="shared" si="21"/>
        <v>0.6153226029784904</v>
      </c>
      <c r="K42" s="47">
        <f t="shared" si="21"/>
        <v>0.62503739579690876</v>
      </c>
      <c r="L42" s="47">
        <f t="shared" si="21"/>
        <v>0.63490556702048917</v>
      </c>
      <c r="M42" s="47">
        <f t="shared" si="22"/>
        <v>0.6449295382073239</v>
      </c>
      <c r="N42" s="47">
        <f t="shared" si="22"/>
        <v>0.65511176914737856</v>
      </c>
      <c r="O42" s="47">
        <f t="shared" si="22"/>
        <v>0.66545475846610003</v>
      </c>
      <c r="P42" s="47">
        <f t="shared" si="22"/>
        <v>0.6759610442375571</v>
      </c>
      <c r="Q42" s="47">
        <f t="shared" si="22"/>
        <v>0.68663320460726052</v>
      </c>
      <c r="R42" s="47">
        <f t="shared" si="22"/>
        <v>0.69747385842481502</v>
      </c>
      <c r="S42" s="47">
        <f t="shared" si="22"/>
        <v>0.70848566588656192</v>
      </c>
      <c r="T42" s="47">
        <f t="shared" si="22"/>
        <v>0.71967132918836618</v>
      </c>
      <c r="U42" s="47">
        <f t="shared" si="22"/>
        <v>0.73103359318871097</v>
      </c>
      <c r="V42" s="47">
        <f t="shared" si="22"/>
        <v>0.74257524608225933</v>
      </c>
      <c r="W42" s="47">
        <f t="shared" si="23"/>
        <v>0.75429912008405253</v>
      </c>
      <c r="X42" s="47">
        <f t="shared" si="23"/>
        <v>0.76620809212450947</v>
      </c>
      <c r="Y42" s="47">
        <f t="shared" si="23"/>
        <v>0.77830508455539782</v>
      </c>
      <c r="Z42" s="47">
        <f t="shared" si="23"/>
        <v>0.79059306586695333</v>
      </c>
      <c r="AA42" s="47">
        <f t="shared" si="23"/>
        <v>0.8030750514163193</v>
      </c>
      <c r="AB42" s="47">
        <f t="shared" si="23"/>
        <v>0.8157541041674875</v>
      </c>
      <c r="AC42" s="47">
        <f t="shared" si="23"/>
        <v>0.82863333544292095</v>
      </c>
      <c r="AD42" s="47">
        <f t="shared" si="23"/>
        <v>0.84171590568704457</v>
      </c>
      <c r="AE42" s="47">
        <f t="shared" si="23"/>
        <v>0.85500502524178823</v>
      </c>
      <c r="AF42" s="47">
        <f t="shared" si="23"/>
        <v>0.86850395513437495</v>
      </c>
      <c r="AG42" s="47">
        <f t="shared" si="24"/>
        <v>0.88221600787754795</v>
      </c>
      <c r="AH42" s="47">
        <f t="shared" si="24"/>
        <v>0.8961445482824294</v>
      </c>
      <c r="AI42" s="47">
        <f t="shared" si="24"/>
        <v>0.91029299428421451</v>
      </c>
      <c r="AJ42" s="47">
        <f t="shared" si="24"/>
        <v>0.9246648177809017</v>
      </c>
      <c r="AK42" s="47">
        <f t="shared" si="24"/>
        <v>0.9392635454852637</v>
      </c>
      <c r="AL42" s="47">
        <f t="shared" si="24"/>
        <v>0.95409275979027042</v>
      </c>
      <c r="AM42" s="47">
        <f t="shared" si="24"/>
        <v>0.96915609964817517</v>
      </c>
      <c r="AN42" s="47">
        <f t="shared" si="24"/>
        <v>0.98445726146348034</v>
      </c>
      <c r="AO42" s="47">
        <f t="shared" si="24"/>
        <v>1</v>
      </c>
      <c r="AP42" s="47">
        <f t="shared" si="24"/>
        <v>1.0157881293022453</v>
      </c>
      <c r="AQ42" s="47">
        <f t="shared" si="25"/>
        <v>1.0318255236313549</v>
      </c>
      <c r="AR42" s="47">
        <f t="shared" si="25"/>
        <v>1.0481161184158037</v>
      </c>
      <c r="AS42" s="47">
        <f t="shared" si="25"/>
        <v>1.0646639112171199</v>
      </c>
      <c r="AT42" s="47">
        <f t="shared" si="25"/>
        <v>1.0814729627108499</v>
      </c>
      <c r="AU42" s="47">
        <f t="shared" si="25"/>
        <v>1.0985473976830111</v>
      </c>
      <c r="AV42" s="47">
        <f t="shared" si="25"/>
        <v>1.1158914060422755</v>
      </c>
      <c r="AW42" s="47">
        <f t="shared" si="25"/>
        <v>1.1335092438481353</v>
      </c>
      <c r="AX42" s="47">
        <f t="shared" si="25"/>
        <v>1.1514052343553001</v>
      </c>
      <c r="AY42" s="47">
        <f t="shared" si="25"/>
        <v>1.1695837690745834</v>
      </c>
      <c r="AZ42" s="47">
        <f t="shared" si="25"/>
        <v>1.1880493088505404</v>
      </c>
      <c r="BA42" s="47">
        <f t="shared" si="26"/>
        <v>1.2068063849561159</v>
      </c>
      <c r="BB42" s="47">
        <f t="shared" si="26"/>
        <v>1.2258596002045781</v>
      </c>
      <c r="BC42" s="47">
        <f t="shared" si="26"/>
        <v>1.2452136300790069</v>
      </c>
      <c r="BD42" s="47">
        <f t="shared" si="26"/>
        <v>1.2648732238796123</v>
      </c>
      <c r="BE42" s="47">
        <f t="shared" si="26"/>
        <v>1.2848432058891714</v>
      </c>
      <c r="BF42" s="47">
        <f t="shared" si="26"/>
        <v>1.3051284765568609</v>
      </c>
      <c r="BG42" s="47">
        <f t="shared" si="26"/>
        <v>1.3257340137007831</v>
      </c>
      <c r="BH42" s="47">
        <f t="shared" si="26"/>
        <v>1.3466648737294755</v>
      </c>
      <c r="BI42" s="47">
        <f t="shared" si="26"/>
        <v>1.3679261928827084</v>
      </c>
      <c r="BJ42" s="47">
        <f t="shared" si="26"/>
        <v>1.3895231884918688</v>
      </c>
      <c r="BK42" s="47">
        <f t="shared" si="27"/>
        <v>1.4114611602602465</v>
      </c>
      <c r="BL42" s="47">
        <f t="shared" si="27"/>
        <v>1.4337454915635324</v>
      </c>
      <c r="BM42" s="47">
        <f t="shared" si="27"/>
        <v>1.4563816507708487</v>
      </c>
      <c r="BN42" s="47">
        <f t="shared" si="27"/>
        <v>1.4793751925866365</v>
      </c>
      <c r="BO42" s="47">
        <f t="shared" si="27"/>
        <v>1.5027317594137282</v>
      </c>
      <c r="BP42" s="47">
        <f t="shared" si="27"/>
        <v>1.5264570827379427</v>
      </c>
      <c r="BQ42" s="47">
        <f t="shared" si="27"/>
        <v>1.5505569845345375</v>
      </c>
      <c r="BR42" s="47">
        <f t="shared" si="27"/>
        <v>1.5750373786968681</v>
      </c>
      <c r="BS42" s="47">
        <f t="shared" si="27"/>
        <v>1.599904272487604</v>
      </c>
      <c r="BT42" s="47">
        <f t="shared" si="27"/>
        <v>1.6251637680128528</v>
      </c>
      <c r="BU42" s="47">
        <f t="shared" si="27"/>
        <v>1.6508220637195639</v>
      </c>
      <c r="BV42" s="47">
        <f t="shared" si="27"/>
        <v>1.6768854559165678</v>
      </c>
      <c r="BW42" s="47">
        <f t="shared" si="27"/>
        <v>1.7033603403196329</v>
      </c>
      <c r="BX42" s="47">
        <f t="shared" si="27"/>
        <v>1.7302532136209157</v>
      </c>
      <c r="BY42" s="47">
        <f t="shared" si="27"/>
        <v>1.7575706750831883</v>
      </c>
    </row>
    <row r="43" spans="1:77" x14ac:dyDescent="0.25">
      <c r="B43" s="43"/>
    </row>
    <row r="44" spans="1:77" x14ac:dyDescent="0.25">
      <c r="B44" s="43"/>
      <c r="E44" s="48" t="s">
        <v>53</v>
      </c>
      <c r="F44" s="49">
        <v>2.2311137609515176E-2</v>
      </c>
    </row>
    <row r="45" spans="1:77" x14ac:dyDescent="0.25">
      <c r="B45" s="43"/>
    </row>
    <row r="46" spans="1:77" ht="26.25" x14ac:dyDescent="0.25">
      <c r="B46" s="44" t="s">
        <v>49</v>
      </c>
      <c r="C46" s="45">
        <v>1986</v>
      </c>
      <c r="D46" s="45">
        <v>1987</v>
      </c>
      <c r="E46" s="45">
        <v>1988</v>
      </c>
      <c r="F46" s="45">
        <v>1989</v>
      </c>
      <c r="G46" s="45">
        <v>1990</v>
      </c>
      <c r="H46" s="45">
        <v>1991</v>
      </c>
      <c r="I46" s="45">
        <v>1992</v>
      </c>
      <c r="J46" s="45">
        <v>1993</v>
      </c>
      <c r="K46" s="45">
        <v>1994</v>
      </c>
      <c r="L46" s="45">
        <v>1995</v>
      </c>
      <c r="M46" s="45">
        <v>1996</v>
      </c>
      <c r="N46" s="45">
        <v>1997</v>
      </c>
      <c r="O46" s="45">
        <v>1998</v>
      </c>
      <c r="P46" s="45">
        <v>1999</v>
      </c>
      <c r="Q46" s="45">
        <v>2000</v>
      </c>
      <c r="R46" s="45">
        <v>2001</v>
      </c>
      <c r="S46" s="45">
        <v>2002</v>
      </c>
      <c r="T46" s="45">
        <v>2003</v>
      </c>
      <c r="U46" s="45">
        <v>2004</v>
      </c>
      <c r="V46" s="45">
        <v>2005</v>
      </c>
      <c r="W46" s="45">
        <v>2006</v>
      </c>
      <c r="X46" s="45">
        <v>2007</v>
      </c>
      <c r="Y46" s="45">
        <v>2008</v>
      </c>
      <c r="Z46" s="45">
        <v>2009</v>
      </c>
      <c r="AA46" s="45">
        <v>2010</v>
      </c>
      <c r="AB46" s="45">
        <v>2011</v>
      </c>
      <c r="AC46" s="45">
        <v>2012</v>
      </c>
      <c r="AD46" s="45">
        <v>2013</v>
      </c>
      <c r="AE46" s="45">
        <v>2014</v>
      </c>
      <c r="AF46" s="45">
        <v>2015</v>
      </c>
      <c r="AG46" s="45">
        <v>2016</v>
      </c>
      <c r="AH46" s="45">
        <v>2017</v>
      </c>
      <c r="AI46" s="45">
        <v>2018</v>
      </c>
      <c r="AJ46" s="45">
        <v>2019</v>
      </c>
      <c r="AK46" s="45">
        <v>2020</v>
      </c>
      <c r="AL46" s="45">
        <v>2021</v>
      </c>
      <c r="AM46" s="45">
        <v>2022</v>
      </c>
      <c r="AN46" s="45">
        <v>2023</v>
      </c>
      <c r="AO46" s="45">
        <v>2024</v>
      </c>
      <c r="AP46" s="45">
        <v>2025</v>
      </c>
      <c r="AQ46" s="45">
        <v>2026</v>
      </c>
      <c r="AR46" s="45">
        <v>2027</v>
      </c>
      <c r="AS46" s="45">
        <v>2028</v>
      </c>
      <c r="AT46" s="45">
        <v>2029</v>
      </c>
      <c r="AU46" s="45">
        <v>2030</v>
      </c>
      <c r="AV46" s="45">
        <v>2031</v>
      </c>
      <c r="AW46" s="45">
        <v>2032</v>
      </c>
      <c r="AX46" s="45">
        <v>2033</v>
      </c>
      <c r="AY46" s="45">
        <v>2034</v>
      </c>
      <c r="AZ46" s="45">
        <v>2035</v>
      </c>
      <c r="BA46" s="45">
        <v>2036</v>
      </c>
      <c r="BB46" s="45">
        <v>2037</v>
      </c>
      <c r="BC46" s="45">
        <v>2038</v>
      </c>
      <c r="BD46" s="45">
        <v>2039</v>
      </c>
      <c r="BE46" s="45">
        <v>2040</v>
      </c>
      <c r="BF46" s="45">
        <v>2041</v>
      </c>
      <c r="BG46" s="45">
        <v>2042</v>
      </c>
      <c r="BH46" s="45">
        <v>2043</v>
      </c>
      <c r="BI46" s="45">
        <v>2044</v>
      </c>
      <c r="BJ46" s="45">
        <v>2045</v>
      </c>
      <c r="BK46" s="45">
        <v>2046</v>
      </c>
      <c r="BL46" s="45">
        <v>2047</v>
      </c>
      <c r="BM46" s="45">
        <v>2048</v>
      </c>
      <c r="BN46" s="45">
        <v>2049</v>
      </c>
      <c r="BO46" s="45">
        <v>2050</v>
      </c>
      <c r="BP46" s="45">
        <v>2051</v>
      </c>
      <c r="BQ46" s="45">
        <v>2052</v>
      </c>
      <c r="BR46" s="45">
        <v>2053</v>
      </c>
      <c r="BS46" s="45">
        <v>2054</v>
      </c>
      <c r="BT46" s="45">
        <v>2055</v>
      </c>
      <c r="BU46" s="45">
        <v>2056</v>
      </c>
      <c r="BV46" s="45">
        <v>2057</v>
      </c>
      <c r="BW46" s="45">
        <v>2058</v>
      </c>
      <c r="BX46" s="45">
        <v>2059</v>
      </c>
      <c r="BY46" s="45">
        <v>2060</v>
      </c>
    </row>
    <row r="47" spans="1:77" ht="15" customHeight="1" x14ac:dyDescent="0.25">
      <c r="A47" s="115" t="s">
        <v>52</v>
      </c>
      <c r="B47" s="46">
        <v>1986</v>
      </c>
      <c r="C47" s="47">
        <f>(1+$F$44)^(C$46-$B47)</f>
        <v>1</v>
      </c>
      <c r="D47" s="47">
        <f t="shared" ref="D47:BO48" si="28">(1+$F$44)^(D$46-$B47)</f>
        <v>1.0223111376095151</v>
      </c>
      <c r="E47" s="47">
        <f t="shared" si="28"/>
        <v>1.0451200620804608</v>
      </c>
      <c r="F47" s="47">
        <f t="shared" si="28"/>
        <v>1.0684378796040028</v>
      </c>
      <c r="G47" s="47">
        <f t="shared" si="28"/>
        <v>1.0922759441630663</v>
      </c>
      <c r="H47" s="47">
        <f t="shared" si="28"/>
        <v>1.1166458630608516</v>
      </c>
      <c r="I47" s="47">
        <f t="shared" si="28"/>
        <v>1.1415595025726979</v>
      </c>
      <c r="J47" s="47">
        <f t="shared" si="28"/>
        <v>1.1670289937240468</v>
      </c>
      <c r="K47" s="47">
        <f t="shared" si="28"/>
        <v>1.1930667381973179</v>
      </c>
      <c r="L47" s="47">
        <f t="shared" si="28"/>
        <v>1.2196854143705735</v>
      </c>
      <c r="M47" s="47">
        <f t="shared" si="28"/>
        <v>1.2468979834909137</v>
      </c>
      <c r="N47" s="47">
        <f t="shared" si="28"/>
        <v>1.2747176959856064</v>
      </c>
      <c r="O47" s="47">
        <f t="shared" si="28"/>
        <v>1.3031580979140251</v>
      </c>
      <c r="P47" s="47">
        <f t="shared" si="28"/>
        <v>1.3322330375635392</v>
      </c>
      <c r="Q47" s="47">
        <f t="shared" si="28"/>
        <v>1.3619566721925613</v>
      </c>
      <c r="R47" s="47">
        <f t="shared" si="28"/>
        <v>1.3923434749240466</v>
      </c>
      <c r="S47" s="47">
        <f t="shared" si="28"/>
        <v>1.4234082417927876</v>
      </c>
      <c r="T47" s="47">
        <f t="shared" si="28"/>
        <v>1.4551660989499444</v>
      </c>
      <c r="U47" s="47">
        <f t="shared" si="28"/>
        <v>1.4876325100283176</v>
      </c>
      <c r="V47" s="47">
        <f t="shared" si="28"/>
        <v>1.5208232836719477</v>
      </c>
      <c r="W47" s="47">
        <f t="shared" si="28"/>
        <v>1.5547545812337071</v>
      </c>
      <c r="X47" s="47">
        <f t="shared" si="28"/>
        <v>1.5894429246446367</v>
      </c>
      <c r="Y47" s="47">
        <f t="shared" si="28"/>
        <v>1.624905204458853</v>
      </c>
      <c r="Z47" s="47">
        <f t="shared" si="28"/>
        <v>1.6611586880779516</v>
      </c>
      <c r="AA47" s="47">
        <f t="shared" si="28"/>
        <v>1.6982210281589003</v>
      </c>
      <c r="AB47" s="47">
        <f t="shared" si="28"/>
        <v>1.7361102712095255</v>
      </c>
      <c r="AC47" s="47">
        <f t="shared" si="28"/>
        <v>1.7748448663757739</v>
      </c>
      <c r="AD47" s="47">
        <f t="shared" si="28"/>
        <v>1.814443674425025</v>
      </c>
      <c r="AE47" s="47">
        <f t="shared" si="28"/>
        <v>1.8549259769298359</v>
      </c>
      <c r="AF47" s="47">
        <f t="shared" si="28"/>
        <v>1.8963114856565819</v>
      </c>
      <c r="AG47" s="47">
        <f t="shared" si="28"/>
        <v>1.9386203521635696</v>
      </c>
      <c r="AH47" s="47">
        <f t="shared" si="28"/>
        <v>1.9818731776132974</v>
      </c>
      <c r="AI47" s="47">
        <f t="shared" si="28"/>
        <v>2.0260910228036346</v>
      </c>
      <c r="AJ47" s="47">
        <f t="shared" si="28"/>
        <v>2.0712954184228098</v>
      </c>
      <c r="AK47" s="47">
        <f t="shared" si="28"/>
        <v>2.1175083755331991</v>
      </c>
      <c r="AL47" s="47">
        <f t="shared" si="28"/>
        <v>2.1647523962890207</v>
      </c>
      <c r="AM47" s="47">
        <f t="shared" si="28"/>
        <v>2.2130504848931527</v>
      </c>
      <c r="AN47" s="47">
        <f t="shared" si="28"/>
        <v>2.2624261587984082</v>
      </c>
      <c r="AO47" s="47">
        <f t="shared" si="28"/>
        <v>2.3129034601587257</v>
      </c>
      <c r="AP47" s="47">
        <f t="shared" si="28"/>
        <v>2.3645069675358505</v>
      </c>
      <c r="AQ47" s="47">
        <f t="shared" si="28"/>
        <v>2.4172618078672001</v>
      </c>
      <c r="AR47" s="47">
        <f t="shared" si="28"/>
        <v>2.4711936687007503</v>
      </c>
      <c r="AS47" s="47">
        <f t="shared" si="28"/>
        <v>2.5263288107028949</v>
      </c>
      <c r="AT47" s="47">
        <f t="shared" si="28"/>
        <v>2.58269408044537</v>
      </c>
      <c r="AU47" s="47">
        <f t="shared" si="28"/>
        <v>2.6403169234774664</v>
      </c>
      <c r="AV47" s="47">
        <f t="shared" si="28"/>
        <v>2.6992253976899039</v>
      </c>
      <c r="AW47" s="47">
        <f t="shared" si="28"/>
        <v>2.759448186976861</v>
      </c>
      <c r="AX47" s="47">
        <f t="shared" si="28"/>
        <v>2.8210146152028286</v>
      </c>
      <c r="AY47" s="47">
        <f t="shared" si="28"/>
        <v>2.8839546604810722</v>
      </c>
      <c r="AZ47" s="47">
        <f t="shared" si="28"/>
        <v>2.9482989697706681</v>
      </c>
      <c r="BA47" s="47">
        <f t="shared" si="28"/>
        <v>3.0140788737992121</v>
      </c>
      <c r="BB47" s="47">
        <f t="shared" si="28"/>
        <v>3.0813264023184788</v>
      </c>
      <c r="BC47" s="47">
        <f t="shared" si="28"/>
        <v>3.1500742997004383</v>
      </c>
      <c r="BD47" s="47">
        <f t="shared" si="28"/>
        <v>3.2203560408812524</v>
      </c>
      <c r="BE47" s="47">
        <f t="shared" si="28"/>
        <v>3.2922058476609863</v>
      </c>
      <c r="BF47" s="47">
        <f t="shared" si="28"/>
        <v>3.3656587053670011</v>
      </c>
      <c r="BG47" s="47">
        <f t="shared" si="28"/>
        <v>3.4407503798891064</v>
      </c>
      <c r="BH47" s="47">
        <f t="shared" si="28"/>
        <v>3.5175174350948031</v>
      </c>
      <c r="BI47" s="47">
        <f t="shared" si="28"/>
        <v>3.5959972506330717</v>
      </c>
      <c r="BJ47" s="47">
        <f t="shared" si="28"/>
        <v>3.676228040135384</v>
      </c>
      <c r="BK47" s="47">
        <f t="shared" si="28"/>
        <v>3.7582488698228023</v>
      </c>
      <c r="BL47" s="47">
        <f t="shared" si="28"/>
        <v>3.8420996775282239</v>
      </c>
      <c r="BM47" s="47">
        <f t="shared" si="28"/>
        <v>3.9278212921430291</v>
      </c>
      <c r="BN47" s="47">
        <f t="shared" si="28"/>
        <v>4.0154554534976148</v>
      </c>
      <c r="BO47" s="47">
        <f t="shared" si="28"/>
        <v>4.1050448326854783</v>
      </c>
      <c r="BP47" s="47">
        <f t="shared" ref="BP47:BY51" si="29">(1+$F$44)^(BP$46-$B47)</f>
        <v>4.1966330528407525</v>
      </c>
      <c r="BQ47" s="47">
        <f t="shared" si="29"/>
        <v>4.2902647103793221</v>
      </c>
      <c r="BR47" s="47">
        <f t="shared" si="29"/>
        <v>4.3859853967138411</v>
      </c>
      <c r="BS47" s="47">
        <f t="shared" si="29"/>
        <v>4.4838417204532472</v>
      </c>
      <c r="BT47" s="47">
        <f t="shared" si="29"/>
        <v>4.5838813300975652</v>
      </c>
      <c r="BU47" s="47">
        <f t="shared" si="29"/>
        <v>4.6861529372390587</v>
      </c>
      <c r="BV47" s="47">
        <f t="shared" si="29"/>
        <v>4.7907063402810319</v>
      </c>
      <c r="BW47" s="47">
        <f t="shared" si="29"/>
        <v>4.8975924486858178</v>
      </c>
      <c r="BX47" s="47">
        <f t="shared" si="29"/>
        <v>5.0068633077637692</v>
      </c>
      <c r="BY47" s="47">
        <f t="shared" si="29"/>
        <v>5.1185721240153184</v>
      </c>
    </row>
    <row r="48" spans="1:77" x14ac:dyDescent="0.25">
      <c r="A48" s="116"/>
      <c r="B48" s="46">
        <v>1987</v>
      </c>
      <c r="C48" s="47">
        <f t="shared" ref="C48:R84" si="30">(1+$F$44)^(C$46-$B48)</f>
        <v>0.97817578544464889</v>
      </c>
      <c r="D48" s="47">
        <f t="shared" si="30"/>
        <v>1</v>
      </c>
      <c r="E48" s="47">
        <f t="shared" si="30"/>
        <v>1.0223111376095151</v>
      </c>
      <c r="F48" s="47">
        <f t="shared" si="30"/>
        <v>1.0451200620804608</v>
      </c>
      <c r="G48" s="47">
        <f t="shared" si="30"/>
        <v>1.0684378796040028</v>
      </c>
      <c r="H48" s="47">
        <f t="shared" si="30"/>
        <v>1.0922759441630663</v>
      </c>
      <c r="I48" s="47">
        <f t="shared" si="30"/>
        <v>1.1166458630608516</v>
      </c>
      <c r="J48" s="47">
        <f t="shared" si="30"/>
        <v>1.1415595025726979</v>
      </c>
      <c r="K48" s="47">
        <f t="shared" si="30"/>
        <v>1.1670289937240468</v>
      </c>
      <c r="L48" s="47">
        <f t="shared" si="30"/>
        <v>1.1930667381973179</v>
      </c>
      <c r="M48" s="47">
        <f t="shared" si="30"/>
        <v>1.2196854143705735</v>
      </c>
      <c r="N48" s="47">
        <f t="shared" si="30"/>
        <v>1.2468979834909137</v>
      </c>
      <c r="O48" s="47">
        <f t="shared" si="30"/>
        <v>1.2747176959856064</v>
      </c>
      <c r="P48" s="47">
        <f t="shared" si="30"/>
        <v>1.3031580979140251</v>
      </c>
      <c r="Q48" s="47">
        <f t="shared" si="30"/>
        <v>1.3322330375635392</v>
      </c>
      <c r="R48" s="47">
        <f t="shared" si="30"/>
        <v>1.3619566721925613</v>
      </c>
      <c r="S48" s="47">
        <f t="shared" si="28"/>
        <v>1.3923434749240466</v>
      </c>
      <c r="T48" s="47">
        <f t="shared" si="28"/>
        <v>1.4234082417927876</v>
      </c>
      <c r="U48" s="47">
        <f t="shared" si="28"/>
        <v>1.4551660989499444</v>
      </c>
      <c r="V48" s="47">
        <f t="shared" si="28"/>
        <v>1.4876325100283176</v>
      </c>
      <c r="W48" s="47">
        <f t="shared" si="28"/>
        <v>1.5208232836719477</v>
      </c>
      <c r="X48" s="47">
        <f t="shared" si="28"/>
        <v>1.5547545812337071</v>
      </c>
      <c r="Y48" s="47">
        <f t="shared" si="28"/>
        <v>1.5894429246446367</v>
      </c>
      <c r="Z48" s="47">
        <f t="shared" si="28"/>
        <v>1.624905204458853</v>
      </c>
      <c r="AA48" s="47">
        <f t="shared" si="28"/>
        <v>1.6611586880779516</v>
      </c>
      <c r="AB48" s="47">
        <f t="shared" si="28"/>
        <v>1.6982210281589003</v>
      </c>
      <c r="AC48" s="47">
        <f t="shared" si="28"/>
        <v>1.7361102712095255</v>
      </c>
      <c r="AD48" s="47">
        <f t="shared" si="28"/>
        <v>1.7748448663757739</v>
      </c>
      <c r="AE48" s="47">
        <f t="shared" si="28"/>
        <v>1.814443674425025</v>
      </c>
      <c r="AF48" s="47">
        <f t="shared" si="28"/>
        <v>1.8549259769298359</v>
      </c>
      <c r="AG48" s="47">
        <f t="shared" si="28"/>
        <v>1.8963114856565819</v>
      </c>
      <c r="AH48" s="47">
        <f t="shared" si="28"/>
        <v>1.9386203521635696</v>
      </c>
      <c r="AI48" s="47">
        <f t="shared" si="28"/>
        <v>1.9818731776132974</v>
      </c>
      <c r="AJ48" s="47">
        <f t="shared" si="28"/>
        <v>2.0260910228036346</v>
      </c>
      <c r="AK48" s="47">
        <f t="shared" si="28"/>
        <v>2.0712954184228098</v>
      </c>
      <c r="AL48" s="47">
        <f t="shared" si="28"/>
        <v>2.1175083755331991</v>
      </c>
      <c r="AM48" s="47">
        <f t="shared" si="28"/>
        <v>2.1647523962890207</v>
      </c>
      <c r="AN48" s="47">
        <f t="shared" si="28"/>
        <v>2.2130504848931527</v>
      </c>
      <c r="AO48" s="47">
        <f t="shared" si="28"/>
        <v>2.2624261587984082</v>
      </c>
      <c r="AP48" s="47">
        <f t="shared" si="28"/>
        <v>2.3129034601587257</v>
      </c>
      <c r="AQ48" s="47">
        <f t="shared" si="28"/>
        <v>2.3645069675358505</v>
      </c>
      <c r="AR48" s="47">
        <f t="shared" si="28"/>
        <v>2.4172618078672001</v>
      </c>
      <c r="AS48" s="47">
        <f t="shared" si="28"/>
        <v>2.4711936687007503</v>
      </c>
      <c r="AT48" s="47">
        <f t="shared" si="28"/>
        <v>2.5263288107028949</v>
      </c>
      <c r="AU48" s="47">
        <f t="shared" si="28"/>
        <v>2.58269408044537</v>
      </c>
      <c r="AV48" s="47">
        <f t="shared" si="28"/>
        <v>2.6403169234774664</v>
      </c>
      <c r="AW48" s="47">
        <f t="shared" si="28"/>
        <v>2.6992253976899039</v>
      </c>
      <c r="AX48" s="47">
        <f t="shared" si="28"/>
        <v>2.759448186976861</v>
      </c>
      <c r="AY48" s="47">
        <f t="shared" si="28"/>
        <v>2.8210146152028286</v>
      </c>
      <c r="AZ48" s="47">
        <f t="shared" si="28"/>
        <v>2.8839546604810722</v>
      </c>
      <c r="BA48" s="47">
        <f t="shared" si="28"/>
        <v>2.9482989697706681</v>
      </c>
      <c r="BB48" s="47">
        <f t="shared" si="28"/>
        <v>3.0140788737992121</v>
      </c>
      <c r="BC48" s="47">
        <f t="shared" si="28"/>
        <v>3.0813264023184788</v>
      </c>
      <c r="BD48" s="47">
        <f t="shared" si="28"/>
        <v>3.1500742997004383</v>
      </c>
      <c r="BE48" s="47">
        <f t="shared" si="28"/>
        <v>3.2203560408812524</v>
      </c>
      <c r="BF48" s="47">
        <f t="shared" si="28"/>
        <v>3.2922058476609863</v>
      </c>
      <c r="BG48" s="47">
        <f t="shared" si="28"/>
        <v>3.3656587053670011</v>
      </c>
      <c r="BH48" s="47">
        <f t="shared" si="28"/>
        <v>3.4407503798891064</v>
      </c>
      <c r="BI48" s="47">
        <f t="shared" si="28"/>
        <v>3.5175174350948031</v>
      </c>
      <c r="BJ48" s="47">
        <f t="shared" si="28"/>
        <v>3.5959972506330717</v>
      </c>
      <c r="BK48" s="47">
        <f t="shared" si="28"/>
        <v>3.676228040135384</v>
      </c>
      <c r="BL48" s="47">
        <f t="shared" si="28"/>
        <v>3.7582488698228023</v>
      </c>
      <c r="BM48" s="47">
        <f t="shared" si="28"/>
        <v>3.8420996775282239</v>
      </c>
      <c r="BN48" s="47">
        <f t="shared" si="28"/>
        <v>3.9278212921430291</v>
      </c>
      <c r="BO48" s="47">
        <f t="shared" si="28"/>
        <v>4.0154554534976148</v>
      </c>
      <c r="BP48" s="47">
        <f t="shared" si="29"/>
        <v>4.1050448326854783</v>
      </c>
      <c r="BQ48" s="47">
        <f t="shared" si="29"/>
        <v>4.1966330528407525</v>
      </c>
      <c r="BR48" s="47">
        <f t="shared" si="29"/>
        <v>4.2902647103793221</v>
      </c>
      <c r="BS48" s="47">
        <f t="shared" si="29"/>
        <v>4.3859853967138411</v>
      </c>
      <c r="BT48" s="47">
        <f t="shared" si="29"/>
        <v>4.4838417204532472</v>
      </c>
      <c r="BU48" s="47">
        <f t="shared" si="29"/>
        <v>4.5838813300975652</v>
      </c>
      <c r="BV48" s="47">
        <f t="shared" si="29"/>
        <v>4.6861529372390587</v>
      </c>
      <c r="BW48" s="47">
        <f t="shared" si="29"/>
        <v>4.7907063402810319</v>
      </c>
      <c r="BX48" s="47">
        <f t="shared" si="29"/>
        <v>4.8975924486858178</v>
      </c>
      <c r="BY48" s="47">
        <f t="shared" si="29"/>
        <v>5.0068633077637692</v>
      </c>
    </row>
    <row r="49" spans="1:77" x14ac:dyDescent="0.25">
      <c r="A49" s="116"/>
      <c r="B49" s="46">
        <v>1988</v>
      </c>
      <c r="C49" s="47">
        <f t="shared" si="30"/>
        <v>0.95682786723025592</v>
      </c>
      <c r="D49" s="47">
        <f t="shared" ref="D49:BO52" si="31">(1+$F$44)^(D$46-$B49)</f>
        <v>0.97817578544464889</v>
      </c>
      <c r="E49" s="47">
        <f t="shared" si="31"/>
        <v>1</v>
      </c>
      <c r="F49" s="47">
        <f t="shared" si="31"/>
        <v>1.0223111376095151</v>
      </c>
      <c r="G49" s="47">
        <f t="shared" si="31"/>
        <v>1.0451200620804608</v>
      </c>
      <c r="H49" s="47">
        <f t="shared" si="31"/>
        <v>1.0684378796040028</v>
      </c>
      <c r="I49" s="47">
        <f t="shared" si="31"/>
        <v>1.0922759441630663</v>
      </c>
      <c r="J49" s="47">
        <f t="shared" si="31"/>
        <v>1.1166458630608516</v>
      </c>
      <c r="K49" s="47">
        <f t="shared" si="31"/>
        <v>1.1415595025726979</v>
      </c>
      <c r="L49" s="47">
        <f t="shared" si="31"/>
        <v>1.1670289937240468</v>
      </c>
      <c r="M49" s="47">
        <f t="shared" si="31"/>
        <v>1.1930667381973179</v>
      </c>
      <c r="N49" s="47">
        <f t="shared" si="31"/>
        <v>1.2196854143705735</v>
      </c>
      <c r="O49" s="47">
        <f t="shared" si="31"/>
        <v>1.2468979834909137</v>
      </c>
      <c r="P49" s="47">
        <f t="shared" si="31"/>
        <v>1.2747176959856064</v>
      </c>
      <c r="Q49" s="47">
        <f t="shared" si="31"/>
        <v>1.3031580979140251</v>
      </c>
      <c r="R49" s="47">
        <f t="shared" si="31"/>
        <v>1.3322330375635392</v>
      </c>
      <c r="S49" s="47">
        <f t="shared" si="31"/>
        <v>1.3619566721925613</v>
      </c>
      <c r="T49" s="47">
        <f t="shared" si="31"/>
        <v>1.3923434749240466</v>
      </c>
      <c r="U49" s="47">
        <f t="shared" si="31"/>
        <v>1.4234082417927876</v>
      </c>
      <c r="V49" s="47">
        <f t="shared" si="31"/>
        <v>1.4551660989499444</v>
      </c>
      <c r="W49" s="47">
        <f t="shared" si="31"/>
        <v>1.4876325100283176</v>
      </c>
      <c r="X49" s="47">
        <f t="shared" si="31"/>
        <v>1.5208232836719477</v>
      </c>
      <c r="Y49" s="47">
        <f t="shared" si="31"/>
        <v>1.5547545812337071</v>
      </c>
      <c r="Z49" s="47">
        <f t="shared" si="31"/>
        <v>1.5894429246446367</v>
      </c>
      <c r="AA49" s="47">
        <f t="shared" si="31"/>
        <v>1.624905204458853</v>
      </c>
      <c r="AB49" s="47">
        <f t="shared" si="31"/>
        <v>1.6611586880779516</v>
      </c>
      <c r="AC49" s="47">
        <f t="shared" si="31"/>
        <v>1.6982210281589003</v>
      </c>
      <c r="AD49" s="47">
        <f t="shared" si="31"/>
        <v>1.7361102712095255</v>
      </c>
      <c r="AE49" s="47">
        <f t="shared" si="31"/>
        <v>1.7748448663757739</v>
      </c>
      <c r="AF49" s="47">
        <f t="shared" si="31"/>
        <v>1.814443674425025</v>
      </c>
      <c r="AG49" s="47">
        <f t="shared" si="31"/>
        <v>1.8549259769298359</v>
      </c>
      <c r="AH49" s="47">
        <f t="shared" si="31"/>
        <v>1.8963114856565819</v>
      </c>
      <c r="AI49" s="47">
        <f t="shared" si="31"/>
        <v>1.9386203521635696</v>
      </c>
      <c r="AJ49" s="47">
        <f t="shared" si="31"/>
        <v>1.9818731776132974</v>
      </c>
      <c r="AK49" s="47">
        <f t="shared" si="31"/>
        <v>2.0260910228036346</v>
      </c>
      <c r="AL49" s="47">
        <f t="shared" si="31"/>
        <v>2.0712954184228098</v>
      </c>
      <c r="AM49" s="47">
        <f t="shared" si="31"/>
        <v>2.1175083755331991</v>
      </c>
      <c r="AN49" s="47">
        <f t="shared" si="31"/>
        <v>2.1647523962890207</v>
      </c>
      <c r="AO49" s="47">
        <f t="shared" si="31"/>
        <v>2.2130504848931527</v>
      </c>
      <c r="AP49" s="47">
        <f t="shared" si="31"/>
        <v>2.2624261587984082</v>
      </c>
      <c r="AQ49" s="47">
        <f t="shared" si="31"/>
        <v>2.3129034601587257</v>
      </c>
      <c r="AR49" s="47">
        <f t="shared" si="31"/>
        <v>2.3645069675358505</v>
      </c>
      <c r="AS49" s="47">
        <f t="shared" si="31"/>
        <v>2.4172618078672001</v>
      </c>
      <c r="AT49" s="47">
        <f t="shared" si="31"/>
        <v>2.4711936687007503</v>
      </c>
      <c r="AU49" s="47">
        <f t="shared" si="31"/>
        <v>2.5263288107028949</v>
      </c>
      <c r="AV49" s="47">
        <f t="shared" si="31"/>
        <v>2.58269408044537</v>
      </c>
      <c r="AW49" s="47">
        <f t="shared" si="31"/>
        <v>2.6403169234774664</v>
      </c>
      <c r="AX49" s="47">
        <f t="shared" si="31"/>
        <v>2.6992253976899039</v>
      </c>
      <c r="AY49" s="47">
        <f t="shared" si="31"/>
        <v>2.759448186976861</v>
      </c>
      <c r="AZ49" s="47">
        <f t="shared" si="31"/>
        <v>2.8210146152028286</v>
      </c>
      <c r="BA49" s="47">
        <f t="shared" si="31"/>
        <v>2.8839546604810722</v>
      </c>
      <c r="BB49" s="47">
        <f t="shared" si="31"/>
        <v>2.9482989697706681</v>
      </c>
      <c r="BC49" s="47">
        <f t="shared" si="31"/>
        <v>3.0140788737992121</v>
      </c>
      <c r="BD49" s="47">
        <f t="shared" si="31"/>
        <v>3.0813264023184788</v>
      </c>
      <c r="BE49" s="47">
        <f t="shared" si="31"/>
        <v>3.1500742997004383</v>
      </c>
      <c r="BF49" s="47">
        <f t="shared" si="31"/>
        <v>3.2203560408812524</v>
      </c>
      <c r="BG49" s="47">
        <f t="shared" si="31"/>
        <v>3.2922058476609863</v>
      </c>
      <c r="BH49" s="47">
        <f t="shared" si="31"/>
        <v>3.3656587053670011</v>
      </c>
      <c r="BI49" s="47">
        <f t="shared" si="31"/>
        <v>3.4407503798891064</v>
      </c>
      <c r="BJ49" s="47">
        <f t="shared" si="31"/>
        <v>3.5175174350948031</v>
      </c>
      <c r="BK49" s="47">
        <f t="shared" si="31"/>
        <v>3.5959972506330717</v>
      </c>
      <c r="BL49" s="47">
        <f t="shared" si="31"/>
        <v>3.676228040135384</v>
      </c>
      <c r="BM49" s="47">
        <f t="shared" si="31"/>
        <v>3.7582488698228023</v>
      </c>
      <c r="BN49" s="47">
        <f t="shared" si="31"/>
        <v>3.8420996775282239</v>
      </c>
      <c r="BO49" s="47">
        <f t="shared" si="31"/>
        <v>3.9278212921430291</v>
      </c>
      <c r="BP49" s="47">
        <f t="shared" si="29"/>
        <v>4.0154554534976148</v>
      </c>
      <c r="BQ49" s="47">
        <f t="shared" si="29"/>
        <v>4.1050448326854783</v>
      </c>
      <c r="BR49" s="47">
        <f t="shared" si="29"/>
        <v>4.1966330528407525</v>
      </c>
      <c r="BS49" s="47">
        <f t="shared" si="29"/>
        <v>4.2902647103793221</v>
      </c>
      <c r="BT49" s="47">
        <f t="shared" si="29"/>
        <v>4.3859853967138411</v>
      </c>
      <c r="BU49" s="47">
        <f t="shared" si="29"/>
        <v>4.4838417204532472</v>
      </c>
      <c r="BV49" s="47">
        <f t="shared" si="29"/>
        <v>4.5838813300975652</v>
      </c>
      <c r="BW49" s="47">
        <f t="shared" si="29"/>
        <v>4.6861529372390587</v>
      </c>
      <c r="BX49" s="47">
        <f t="shared" si="29"/>
        <v>4.7907063402810319</v>
      </c>
      <c r="BY49" s="47">
        <f t="shared" si="29"/>
        <v>4.8975924486858178</v>
      </c>
    </row>
    <row r="50" spans="1:77" x14ac:dyDescent="0.25">
      <c r="A50" s="116"/>
      <c r="B50" s="46">
        <v>1989</v>
      </c>
      <c r="C50" s="47">
        <f t="shared" si="30"/>
        <v>0.93594585056328394</v>
      </c>
      <c r="D50" s="47">
        <f t="shared" si="31"/>
        <v>0.95682786723025592</v>
      </c>
      <c r="E50" s="47">
        <f t="shared" si="31"/>
        <v>0.97817578544464889</v>
      </c>
      <c r="F50" s="47">
        <f t="shared" si="31"/>
        <v>1</v>
      </c>
      <c r="G50" s="47">
        <f t="shared" si="31"/>
        <v>1.0223111376095151</v>
      </c>
      <c r="H50" s="47">
        <f t="shared" si="31"/>
        <v>1.0451200620804608</v>
      </c>
      <c r="I50" s="47">
        <f t="shared" si="31"/>
        <v>1.0684378796040028</v>
      </c>
      <c r="J50" s="47">
        <f t="shared" si="31"/>
        <v>1.0922759441630663</v>
      </c>
      <c r="K50" s="47">
        <f t="shared" si="31"/>
        <v>1.1166458630608516</v>
      </c>
      <c r="L50" s="47">
        <f t="shared" si="31"/>
        <v>1.1415595025726979</v>
      </c>
      <c r="M50" s="47">
        <f t="shared" si="31"/>
        <v>1.1670289937240468</v>
      </c>
      <c r="N50" s="47">
        <f t="shared" si="31"/>
        <v>1.1930667381973179</v>
      </c>
      <c r="O50" s="47">
        <f t="shared" si="31"/>
        <v>1.2196854143705735</v>
      </c>
      <c r="P50" s="47">
        <f t="shared" si="31"/>
        <v>1.2468979834909137</v>
      </c>
      <c r="Q50" s="47">
        <f t="shared" si="31"/>
        <v>1.2747176959856064</v>
      </c>
      <c r="R50" s="47">
        <f t="shared" si="31"/>
        <v>1.3031580979140251</v>
      </c>
      <c r="S50" s="47">
        <f t="shared" si="31"/>
        <v>1.3322330375635392</v>
      </c>
      <c r="T50" s="47">
        <f t="shared" si="31"/>
        <v>1.3619566721925613</v>
      </c>
      <c r="U50" s="47">
        <f t="shared" si="31"/>
        <v>1.3923434749240466</v>
      </c>
      <c r="V50" s="47">
        <f t="shared" si="31"/>
        <v>1.4234082417927876</v>
      </c>
      <c r="W50" s="47">
        <f t="shared" si="31"/>
        <v>1.4551660989499444</v>
      </c>
      <c r="X50" s="47">
        <f t="shared" si="31"/>
        <v>1.4876325100283176</v>
      </c>
      <c r="Y50" s="47">
        <f t="shared" si="31"/>
        <v>1.5208232836719477</v>
      </c>
      <c r="Z50" s="47">
        <f t="shared" si="31"/>
        <v>1.5547545812337071</v>
      </c>
      <c r="AA50" s="47">
        <f t="shared" si="31"/>
        <v>1.5894429246446367</v>
      </c>
      <c r="AB50" s="47">
        <f t="shared" si="31"/>
        <v>1.624905204458853</v>
      </c>
      <c r="AC50" s="47">
        <f t="shared" si="31"/>
        <v>1.6611586880779516</v>
      </c>
      <c r="AD50" s="47">
        <f t="shared" si="31"/>
        <v>1.6982210281589003</v>
      </c>
      <c r="AE50" s="47">
        <f t="shared" si="31"/>
        <v>1.7361102712095255</v>
      </c>
      <c r="AF50" s="47">
        <f t="shared" si="31"/>
        <v>1.7748448663757739</v>
      </c>
      <c r="AG50" s="47">
        <f t="shared" si="31"/>
        <v>1.814443674425025</v>
      </c>
      <c r="AH50" s="47">
        <f t="shared" si="31"/>
        <v>1.8549259769298359</v>
      </c>
      <c r="AI50" s="47">
        <f t="shared" si="31"/>
        <v>1.8963114856565819</v>
      </c>
      <c r="AJ50" s="47">
        <f t="shared" si="31"/>
        <v>1.9386203521635696</v>
      </c>
      <c r="AK50" s="47">
        <f t="shared" si="31"/>
        <v>1.9818731776132974</v>
      </c>
      <c r="AL50" s="47">
        <f t="shared" si="31"/>
        <v>2.0260910228036346</v>
      </c>
      <c r="AM50" s="47">
        <f t="shared" si="31"/>
        <v>2.0712954184228098</v>
      </c>
      <c r="AN50" s="47">
        <f t="shared" si="31"/>
        <v>2.1175083755331991</v>
      </c>
      <c r="AO50" s="47">
        <f t="shared" si="31"/>
        <v>2.1647523962890207</v>
      </c>
      <c r="AP50" s="47">
        <f t="shared" si="31"/>
        <v>2.2130504848931527</v>
      </c>
      <c r="AQ50" s="47">
        <f t="shared" si="31"/>
        <v>2.2624261587984082</v>
      </c>
      <c r="AR50" s="47">
        <f t="shared" si="31"/>
        <v>2.3129034601587257</v>
      </c>
      <c r="AS50" s="47">
        <f t="shared" si="31"/>
        <v>2.3645069675358505</v>
      </c>
      <c r="AT50" s="47">
        <f t="shared" si="31"/>
        <v>2.4172618078672001</v>
      </c>
      <c r="AU50" s="47">
        <f t="shared" si="31"/>
        <v>2.4711936687007503</v>
      </c>
      <c r="AV50" s="47">
        <f t="shared" si="31"/>
        <v>2.5263288107028949</v>
      </c>
      <c r="AW50" s="47">
        <f t="shared" si="31"/>
        <v>2.58269408044537</v>
      </c>
      <c r="AX50" s="47">
        <f t="shared" si="31"/>
        <v>2.6403169234774664</v>
      </c>
      <c r="AY50" s="47">
        <f t="shared" si="31"/>
        <v>2.6992253976899039</v>
      </c>
      <c r="AZ50" s="47">
        <f t="shared" si="31"/>
        <v>2.759448186976861</v>
      </c>
      <c r="BA50" s="47">
        <f t="shared" si="31"/>
        <v>2.8210146152028286</v>
      </c>
      <c r="BB50" s="47">
        <f t="shared" si="31"/>
        <v>2.8839546604810722</v>
      </c>
      <c r="BC50" s="47">
        <f t="shared" si="31"/>
        <v>2.9482989697706681</v>
      </c>
      <c r="BD50" s="47">
        <f t="shared" si="31"/>
        <v>3.0140788737992121</v>
      </c>
      <c r="BE50" s="47">
        <f t="shared" si="31"/>
        <v>3.0813264023184788</v>
      </c>
      <c r="BF50" s="47">
        <f t="shared" si="31"/>
        <v>3.1500742997004383</v>
      </c>
      <c r="BG50" s="47">
        <f t="shared" si="31"/>
        <v>3.2203560408812524</v>
      </c>
      <c r="BH50" s="47">
        <f t="shared" si="31"/>
        <v>3.2922058476609863</v>
      </c>
      <c r="BI50" s="47">
        <f t="shared" si="31"/>
        <v>3.3656587053670011</v>
      </c>
      <c r="BJ50" s="47">
        <f t="shared" si="31"/>
        <v>3.4407503798891064</v>
      </c>
      <c r="BK50" s="47">
        <f t="shared" si="31"/>
        <v>3.5175174350948031</v>
      </c>
      <c r="BL50" s="47">
        <f t="shared" si="31"/>
        <v>3.5959972506330717</v>
      </c>
      <c r="BM50" s="47">
        <f t="shared" si="31"/>
        <v>3.676228040135384</v>
      </c>
      <c r="BN50" s="47">
        <f t="shared" si="31"/>
        <v>3.7582488698228023</v>
      </c>
      <c r="BO50" s="47">
        <f t="shared" si="31"/>
        <v>3.8420996775282239</v>
      </c>
      <c r="BP50" s="47">
        <f t="shared" si="29"/>
        <v>3.9278212921430291</v>
      </c>
      <c r="BQ50" s="47">
        <f t="shared" si="29"/>
        <v>4.0154554534976148</v>
      </c>
      <c r="BR50" s="47">
        <f t="shared" si="29"/>
        <v>4.1050448326854783</v>
      </c>
      <c r="BS50" s="47">
        <f t="shared" si="29"/>
        <v>4.1966330528407525</v>
      </c>
      <c r="BT50" s="47">
        <f t="shared" si="29"/>
        <v>4.2902647103793221</v>
      </c>
      <c r="BU50" s="47">
        <f t="shared" si="29"/>
        <v>4.3859853967138411</v>
      </c>
      <c r="BV50" s="47">
        <f t="shared" si="29"/>
        <v>4.4838417204532472</v>
      </c>
      <c r="BW50" s="47">
        <f t="shared" si="29"/>
        <v>4.5838813300975652</v>
      </c>
      <c r="BX50" s="47">
        <f t="shared" si="29"/>
        <v>4.6861529372390587</v>
      </c>
      <c r="BY50" s="47">
        <f t="shared" si="29"/>
        <v>4.7907063402810319</v>
      </c>
    </row>
    <row r="51" spans="1:77" x14ac:dyDescent="0.25">
      <c r="A51" s="116"/>
      <c r="B51" s="46">
        <v>1990</v>
      </c>
      <c r="C51" s="47">
        <f t="shared" si="30"/>
        <v>0.91551956750840024</v>
      </c>
      <c r="D51" s="47">
        <f t="shared" si="31"/>
        <v>0.93594585056328394</v>
      </c>
      <c r="E51" s="47">
        <f t="shared" si="31"/>
        <v>0.95682786723025592</v>
      </c>
      <c r="F51" s="47">
        <f t="shared" si="31"/>
        <v>0.97817578544464889</v>
      </c>
      <c r="G51" s="47">
        <f t="shared" si="31"/>
        <v>1</v>
      </c>
      <c r="H51" s="47">
        <f t="shared" si="31"/>
        <v>1.0223111376095151</v>
      </c>
      <c r="I51" s="47">
        <f t="shared" si="31"/>
        <v>1.0451200620804608</v>
      </c>
      <c r="J51" s="47">
        <f t="shared" si="31"/>
        <v>1.0684378796040028</v>
      </c>
      <c r="K51" s="47">
        <f t="shared" si="31"/>
        <v>1.0922759441630663</v>
      </c>
      <c r="L51" s="47">
        <f t="shared" si="31"/>
        <v>1.1166458630608516</v>
      </c>
      <c r="M51" s="47">
        <f t="shared" si="31"/>
        <v>1.1415595025726979</v>
      </c>
      <c r="N51" s="47">
        <f t="shared" si="31"/>
        <v>1.1670289937240468</v>
      </c>
      <c r="O51" s="47">
        <f t="shared" si="31"/>
        <v>1.1930667381973179</v>
      </c>
      <c r="P51" s="47">
        <f t="shared" si="31"/>
        <v>1.2196854143705735</v>
      </c>
      <c r="Q51" s="47">
        <f t="shared" si="31"/>
        <v>1.2468979834909137</v>
      </c>
      <c r="R51" s="47">
        <f t="shared" si="31"/>
        <v>1.2747176959856064</v>
      </c>
      <c r="S51" s="47">
        <f t="shared" si="31"/>
        <v>1.3031580979140251</v>
      </c>
      <c r="T51" s="47">
        <f t="shared" si="31"/>
        <v>1.3322330375635392</v>
      </c>
      <c r="U51" s="47">
        <f t="shared" si="31"/>
        <v>1.3619566721925613</v>
      </c>
      <c r="V51" s="47">
        <f t="shared" si="31"/>
        <v>1.3923434749240466</v>
      </c>
      <c r="W51" s="47">
        <f t="shared" si="31"/>
        <v>1.4234082417927876</v>
      </c>
      <c r="X51" s="47">
        <f t="shared" si="31"/>
        <v>1.4551660989499444</v>
      </c>
      <c r="Y51" s="47">
        <f t="shared" si="31"/>
        <v>1.4876325100283176</v>
      </c>
      <c r="Z51" s="47">
        <f t="shared" si="31"/>
        <v>1.5208232836719477</v>
      </c>
      <c r="AA51" s="47">
        <f t="shared" si="31"/>
        <v>1.5547545812337071</v>
      </c>
      <c r="AB51" s="47">
        <f t="shared" si="31"/>
        <v>1.5894429246446367</v>
      </c>
      <c r="AC51" s="47">
        <f t="shared" si="31"/>
        <v>1.624905204458853</v>
      </c>
      <c r="AD51" s="47">
        <f t="shared" si="31"/>
        <v>1.6611586880779516</v>
      </c>
      <c r="AE51" s="47">
        <f t="shared" si="31"/>
        <v>1.6982210281589003</v>
      </c>
      <c r="AF51" s="47">
        <f t="shared" si="31"/>
        <v>1.7361102712095255</v>
      </c>
      <c r="AG51" s="47">
        <f t="shared" si="31"/>
        <v>1.7748448663757739</v>
      </c>
      <c r="AH51" s="47">
        <f t="shared" si="31"/>
        <v>1.814443674425025</v>
      </c>
      <c r="AI51" s="47">
        <f t="shared" si="31"/>
        <v>1.8549259769298359</v>
      </c>
      <c r="AJ51" s="47">
        <f t="shared" si="31"/>
        <v>1.8963114856565819</v>
      </c>
      <c r="AK51" s="47">
        <f t="shared" si="31"/>
        <v>1.9386203521635696</v>
      </c>
      <c r="AL51" s="47">
        <f t="shared" si="31"/>
        <v>1.9818731776132974</v>
      </c>
      <c r="AM51" s="47">
        <f t="shared" si="31"/>
        <v>2.0260910228036346</v>
      </c>
      <c r="AN51" s="47">
        <f t="shared" si="31"/>
        <v>2.0712954184228098</v>
      </c>
      <c r="AO51" s="47">
        <f t="shared" si="31"/>
        <v>2.1175083755331991</v>
      </c>
      <c r="AP51" s="47">
        <f t="shared" si="31"/>
        <v>2.1647523962890207</v>
      </c>
      <c r="AQ51" s="47">
        <f t="shared" si="31"/>
        <v>2.2130504848931527</v>
      </c>
      <c r="AR51" s="47">
        <f t="shared" si="31"/>
        <v>2.2624261587984082</v>
      </c>
      <c r="AS51" s="47">
        <f t="shared" si="31"/>
        <v>2.3129034601587257</v>
      </c>
      <c r="AT51" s="47">
        <f t="shared" si="31"/>
        <v>2.3645069675358505</v>
      </c>
      <c r="AU51" s="47">
        <f t="shared" si="31"/>
        <v>2.4172618078672001</v>
      </c>
      <c r="AV51" s="47">
        <f t="shared" si="31"/>
        <v>2.4711936687007503</v>
      </c>
      <c r="AW51" s="47">
        <f t="shared" si="31"/>
        <v>2.5263288107028949</v>
      </c>
      <c r="AX51" s="47">
        <f t="shared" si="31"/>
        <v>2.58269408044537</v>
      </c>
      <c r="AY51" s="47">
        <f t="shared" si="31"/>
        <v>2.6403169234774664</v>
      </c>
      <c r="AZ51" s="47">
        <f t="shared" si="31"/>
        <v>2.6992253976899039</v>
      </c>
      <c r="BA51" s="47">
        <f t="shared" si="31"/>
        <v>2.759448186976861</v>
      </c>
      <c r="BB51" s="47">
        <f t="shared" si="31"/>
        <v>2.8210146152028286</v>
      </c>
      <c r="BC51" s="47">
        <f t="shared" si="31"/>
        <v>2.8839546604810722</v>
      </c>
      <c r="BD51" s="47">
        <f t="shared" si="31"/>
        <v>2.9482989697706681</v>
      </c>
      <c r="BE51" s="47">
        <f t="shared" si="31"/>
        <v>3.0140788737992121</v>
      </c>
      <c r="BF51" s="47">
        <f t="shared" si="31"/>
        <v>3.0813264023184788</v>
      </c>
      <c r="BG51" s="47">
        <f t="shared" si="31"/>
        <v>3.1500742997004383</v>
      </c>
      <c r="BH51" s="47">
        <f t="shared" si="31"/>
        <v>3.2203560408812524</v>
      </c>
      <c r="BI51" s="47">
        <f t="shared" si="31"/>
        <v>3.2922058476609863</v>
      </c>
      <c r="BJ51" s="47">
        <f t="shared" si="31"/>
        <v>3.3656587053670011</v>
      </c>
      <c r="BK51" s="47">
        <f t="shared" si="31"/>
        <v>3.4407503798891064</v>
      </c>
      <c r="BL51" s="47">
        <f t="shared" si="31"/>
        <v>3.5175174350948031</v>
      </c>
      <c r="BM51" s="47">
        <f t="shared" si="31"/>
        <v>3.5959972506330717</v>
      </c>
      <c r="BN51" s="47">
        <f t="shared" si="31"/>
        <v>3.676228040135384</v>
      </c>
      <c r="BO51" s="47">
        <f t="shared" si="31"/>
        <v>3.7582488698228023</v>
      </c>
      <c r="BP51" s="47">
        <f t="shared" si="29"/>
        <v>3.8420996775282239</v>
      </c>
      <c r="BQ51" s="47">
        <f t="shared" si="29"/>
        <v>3.9278212921430291</v>
      </c>
      <c r="BR51" s="47">
        <f t="shared" si="29"/>
        <v>4.0154554534976148</v>
      </c>
      <c r="BS51" s="47">
        <f t="shared" si="29"/>
        <v>4.1050448326854783</v>
      </c>
      <c r="BT51" s="47">
        <f t="shared" si="29"/>
        <v>4.1966330528407525</v>
      </c>
      <c r="BU51" s="47">
        <f t="shared" si="29"/>
        <v>4.2902647103793221</v>
      </c>
      <c r="BV51" s="47">
        <f t="shared" si="29"/>
        <v>4.3859853967138411</v>
      </c>
      <c r="BW51" s="47">
        <f t="shared" si="29"/>
        <v>4.4838417204532472</v>
      </c>
      <c r="BX51" s="47">
        <f t="shared" si="29"/>
        <v>4.5838813300975652</v>
      </c>
      <c r="BY51" s="47">
        <f t="shared" si="29"/>
        <v>4.6861529372390587</v>
      </c>
    </row>
    <row r="52" spans="1:77" x14ac:dyDescent="0.25">
      <c r="A52" s="116"/>
      <c r="B52" s="46">
        <v>1991</v>
      </c>
      <c r="C52" s="47">
        <f t="shared" si="30"/>
        <v>0.89553907203747463</v>
      </c>
      <c r="D52" s="47">
        <f t="shared" si="31"/>
        <v>0.91551956750840024</v>
      </c>
      <c r="E52" s="47">
        <f t="shared" si="31"/>
        <v>0.93594585056328394</v>
      </c>
      <c r="F52" s="47">
        <f t="shared" si="31"/>
        <v>0.95682786723025592</v>
      </c>
      <c r="G52" s="47">
        <f t="shared" si="31"/>
        <v>0.97817578544464889</v>
      </c>
      <c r="H52" s="47">
        <f t="shared" si="31"/>
        <v>1</v>
      </c>
      <c r="I52" s="47">
        <f t="shared" si="31"/>
        <v>1.0223111376095151</v>
      </c>
      <c r="J52" s="47">
        <f t="shared" si="31"/>
        <v>1.0451200620804608</v>
      </c>
      <c r="K52" s="47">
        <f t="shared" si="31"/>
        <v>1.0684378796040028</v>
      </c>
      <c r="L52" s="47">
        <f t="shared" si="31"/>
        <v>1.0922759441630663</v>
      </c>
      <c r="M52" s="47">
        <f t="shared" si="31"/>
        <v>1.1166458630608516</v>
      </c>
      <c r="N52" s="47">
        <f t="shared" si="31"/>
        <v>1.1415595025726979</v>
      </c>
      <c r="O52" s="47">
        <f t="shared" si="31"/>
        <v>1.1670289937240468</v>
      </c>
      <c r="P52" s="47">
        <f t="shared" si="31"/>
        <v>1.1930667381973179</v>
      </c>
      <c r="Q52" s="47">
        <f t="shared" si="31"/>
        <v>1.2196854143705735</v>
      </c>
      <c r="R52" s="47">
        <f t="shared" si="31"/>
        <v>1.2468979834909137</v>
      </c>
      <c r="S52" s="47">
        <f t="shared" si="31"/>
        <v>1.2747176959856064</v>
      </c>
      <c r="T52" s="47">
        <f t="shared" si="31"/>
        <v>1.3031580979140251</v>
      </c>
      <c r="U52" s="47">
        <f t="shared" si="31"/>
        <v>1.3322330375635392</v>
      </c>
      <c r="V52" s="47">
        <f t="shared" si="31"/>
        <v>1.3619566721925613</v>
      </c>
      <c r="W52" s="47">
        <f t="shared" si="31"/>
        <v>1.3923434749240466</v>
      </c>
      <c r="X52" s="47">
        <f t="shared" si="31"/>
        <v>1.4234082417927876</v>
      </c>
      <c r="Y52" s="47">
        <f t="shared" si="31"/>
        <v>1.4551660989499444</v>
      </c>
      <c r="Z52" s="47">
        <f t="shared" si="31"/>
        <v>1.4876325100283176</v>
      </c>
      <c r="AA52" s="47">
        <f t="shared" si="31"/>
        <v>1.5208232836719477</v>
      </c>
      <c r="AB52" s="47">
        <f t="shared" si="31"/>
        <v>1.5547545812337071</v>
      </c>
      <c r="AC52" s="47">
        <f t="shared" si="31"/>
        <v>1.5894429246446367</v>
      </c>
      <c r="AD52" s="47">
        <f t="shared" si="31"/>
        <v>1.624905204458853</v>
      </c>
      <c r="AE52" s="47">
        <f t="shared" si="31"/>
        <v>1.6611586880779516</v>
      </c>
      <c r="AF52" s="47">
        <f t="shared" si="31"/>
        <v>1.6982210281589003</v>
      </c>
      <c r="AG52" s="47">
        <f t="shared" si="31"/>
        <v>1.7361102712095255</v>
      </c>
      <c r="AH52" s="47">
        <f t="shared" si="31"/>
        <v>1.7748448663757739</v>
      </c>
      <c r="AI52" s="47">
        <f t="shared" si="31"/>
        <v>1.814443674425025</v>
      </c>
      <c r="AJ52" s="47">
        <f t="shared" si="31"/>
        <v>1.8549259769298359</v>
      </c>
      <c r="AK52" s="47">
        <f t="shared" si="31"/>
        <v>1.8963114856565819</v>
      </c>
      <c r="AL52" s="47">
        <f t="shared" si="31"/>
        <v>1.9386203521635696</v>
      </c>
      <c r="AM52" s="47">
        <f t="shared" si="31"/>
        <v>1.9818731776132974</v>
      </c>
      <c r="AN52" s="47">
        <f t="shared" si="31"/>
        <v>2.0260910228036346</v>
      </c>
      <c r="AO52" s="47">
        <f t="shared" si="31"/>
        <v>2.0712954184228098</v>
      </c>
      <c r="AP52" s="47">
        <f t="shared" si="31"/>
        <v>2.1175083755331991</v>
      </c>
      <c r="AQ52" s="47">
        <f t="shared" si="31"/>
        <v>2.1647523962890207</v>
      </c>
      <c r="AR52" s="47">
        <f t="shared" si="31"/>
        <v>2.2130504848931527</v>
      </c>
      <c r="AS52" s="47">
        <f t="shared" si="31"/>
        <v>2.2624261587984082</v>
      </c>
      <c r="AT52" s="47">
        <f t="shared" si="31"/>
        <v>2.3129034601587257</v>
      </c>
      <c r="AU52" s="47">
        <f t="shared" si="31"/>
        <v>2.3645069675358505</v>
      </c>
      <c r="AV52" s="47">
        <f t="shared" si="31"/>
        <v>2.4172618078672001</v>
      </c>
      <c r="AW52" s="47">
        <f t="shared" si="31"/>
        <v>2.4711936687007503</v>
      </c>
      <c r="AX52" s="47">
        <f t="shared" si="31"/>
        <v>2.5263288107028949</v>
      </c>
      <c r="AY52" s="47">
        <f t="shared" si="31"/>
        <v>2.58269408044537</v>
      </c>
      <c r="AZ52" s="47">
        <f t="shared" si="31"/>
        <v>2.6403169234774664</v>
      </c>
      <c r="BA52" s="47">
        <f t="shared" si="31"/>
        <v>2.6992253976899039</v>
      </c>
      <c r="BB52" s="47">
        <f t="shared" si="31"/>
        <v>2.759448186976861</v>
      </c>
      <c r="BC52" s="47">
        <f t="shared" si="31"/>
        <v>2.8210146152028286</v>
      </c>
      <c r="BD52" s="47">
        <f t="shared" si="31"/>
        <v>2.8839546604810722</v>
      </c>
      <c r="BE52" s="47">
        <f t="shared" si="31"/>
        <v>2.9482989697706681</v>
      </c>
      <c r="BF52" s="47">
        <f t="shared" si="31"/>
        <v>3.0140788737992121</v>
      </c>
      <c r="BG52" s="47">
        <f t="shared" si="31"/>
        <v>3.0813264023184788</v>
      </c>
      <c r="BH52" s="47">
        <f t="shared" si="31"/>
        <v>3.1500742997004383</v>
      </c>
      <c r="BI52" s="47">
        <f t="shared" si="31"/>
        <v>3.2203560408812524</v>
      </c>
      <c r="BJ52" s="47">
        <f t="shared" si="31"/>
        <v>3.2922058476609863</v>
      </c>
      <c r="BK52" s="47">
        <f t="shared" si="31"/>
        <v>3.3656587053670011</v>
      </c>
      <c r="BL52" s="47">
        <f t="shared" si="31"/>
        <v>3.4407503798891064</v>
      </c>
      <c r="BM52" s="47">
        <f t="shared" si="31"/>
        <v>3.5175174350948031</v>
      </c>
      <c r="BN52" s="47">
        <f t="shared" si="31"/>
        <v>3.5959972506330717</v>
      </c>
      <c r="BO52" s="47">
        <f t="shared" ref="BO52:BY55" si="32">(1+$F$44)^(BO$46-$B52)</f>
        <v>3.676228040135384</v>
      </c>
      <c r="BP52" s="47">
        <f t="shared" si="32"/>
        <v>3.7582488698228023</v>
      </c>
      <c r="BQ52" s="47">
        <f t="shared" si="32"/>
        <v>3.8420996775282239</v>
      </c>
      <c r="BR52" s="47">
        <f t="shared" si="32"/>
        <v>3.9278212921430291</v>
      </c>
      <c r="BS52" s="47">
        <f t="shared" si="32"/>
        <v>4.0154554534976148</v>
      </c>
      <c r="BT52" s="47">
        <f t="shared" si="32"/>
        <v>4.1050448326854783</v>
      </c>
      <c r="BU52" s="47">
        <f t="shared" si="32"/>
        <v>4.1966330528407525</v>
      </c>
      <c r="BV52" s="47">
        <f t="shared" si="32"/>
        <v>4.2902647103793221</v>
      </c>
      <c r="BW52" s="47">
        <f t="shared" si="32"/>
        <v>4.3859853967138411</v>
      </c>
      <c r="BX52" s="47">
        <f t="shared" si="32"/>
        <v>4.4838417204532472</v>
      </c>
      <c r="BY52" s="47">
        <f t="shared" si="32"/>
        <v>4.5838813300975652</v>
      </c>
    </row>
    <row r="53" spans="1:77" x14ac:dyDescent="0.25">
      <c r="A53" s="116"/>
      <c r="B53" s="46">
        <v>1992</v>
      </c>
      <c r="C53" s="47">
        <f t="shared" si="30"/>
        <v>0.8759946351866289</v>
      </c>
      <c r="D53" s="47">
        <f t="shared" ref="D53:BO56" si="33">(1+$F$44)^(D$46-$B53)</f>
        <v>0.89553907203747463</v>
      </c>
      <c r="E53" s="47">
        <f t="shared" si="33"/>
        <v>0.91551956750840024</v>
      </c>
      <c r="F53" s="47">
        <f t="shared" si="33"/>
        <v>0.93594585056328394</v>
      </c>
      <c r="G53" s="47">
        <f t="shared" si="33"/>
        <v>0.95682786723025592</v>
      </c>
      <c r="H53" s="47">
        <f t="shared" si="33"/>
        <v>0.97817578544464889</v>
      </c>
      <c r="I53" s="47">
        <f t="shared" si="33"/>
        <v>1</v>
      </c>
      <c r="J53" s="47">
        <f t="shared" si="33"/>
        <v>1.0223111376095151</v>
      </c>
      <c r="K53" s="47">
        <f t="shared" si="33"/>
        <v>1.0451200620804608</v>
      </c>
      <c r="L53" s="47">
        <f t="shared" si="33"/>
        <v>1.0684378796040028</v>
      </c>
      <c r="M53" s="47">
        <f t="shared" si="33"/>
        <v>1.0922759441630663</v>
      </c>
      <c r="N53" s="47">
        <f t="shared" si="33"/>
        <v>1.1166458630608516</v>
      </c>
      <c r="O53" s="47">
        <f t="shared" si="33"/>
        <v>1.1415595025726979</v>
      </c>
      <c r="P53" s="47">
        <f t="shared" si="33"/>
        <v>1.1670289937240468</v>
      </c>
      <c r="Q53" s="47">
        <f t="shared" si="33"/>
        <v>1.1930667381973179</v>
      </c>
      <c r="R53" s="47">
        <f t="shared" si="33"/>
        <v>1.2196854143705735</v>
      </c>
      <c r="S53" s="47">
        <f t="shared" si="33"/>
        <v>1.2468979834909137</v>
      </c>
      <c r="T53" s="47">
        <f t="shared" si="33"/>
        <v>1.2747176959856064</v>
      </c>
      <c r="U53" s="47">
        <f t="shared" si="33"/>
        <v>1.3031580979140251</v>
      </c>
      <c r="V53" s="47">
        <f t="shared" si="33"/>
        <v>1.3322330375635392</v>
      </c>
      <c r="W53" s="47">
        <f t="shared" si="33"/>
        <v>1.3619566721925613</v>
      </c>
      <c r="X53" s="47">
        <f t="shared" si="33"/>
        <v>1.3923434749240466</v>
      </c>
      <c r="Y53" s="47">
        <f t="shared" si="33"/>
        <v>1.4234082417927876</v>
      </c>
      <c r="Z53" s="47">
        <f t="shared" si="33"/>
        <v>1.4551660989499444</v>
      </c>
      <c r="AA53" s="47">
        <f t="shared" si="33"/>
        <v>1.4876325100283176</v>
      </c>
      <c r="AB53" s="47">
        <f t="shared" si="33"/>
        <v>1.5208232836719477</v>
      </c>
      <c r="AC53" s="47">
        <f t="shared" si="33"/>
        <v>1.5547545812337071</v>
      </c>
      <c r="AD53" s="47">
        <f t="shared" si="33"/>
        <v>1.5894429246446367</v>
      </c>
      <c r="AE53" s="47">
        <f t="shared" si="33"/>
        <v>1.624905204458853</v>
      </c>
      <c r="AF53" s="47">
        <f t="shared" si="33"/>
        <v>1.6611586880779516</v>
      </c>
      <c r="AG53" s="47">
        <f t="shared" si="33"/>
        <v>1.6982210281589003</v>
      </c>
      <c r="AH53" s="47">
        <f t="shared" si="33"/>
        <v>1.7361102712095255</v>
      </c>
      <c r="AI53" s="47">
        <f t="shared" si="33"/>
        <v>1.7748448663757739</v>
      </c>
      <c r="AJ53" s="47">
        <f t="shared" si="33"/>
        <v>1.814443674425025</v>
      </c>
      <c r="AK53" s="47">
        <f t="shared" si="33"/>
        <v>1.8549259769298359</v>
      </c>
      <c r="AL53" s="47">
        <f t="shared" si="33"/>
        <v>1.8963114856565819</v>
      </c>
      <c r="AM53" s="47">
        <f t="shared" si="33"/>
        <v>1.9386203521635696</v>
      </c>
      <c r="AN53" s="47">
        <f t="shared" si="33"/>
        <v>1.9818731776132974</v>
      </c>
      <c r="AO53" s="47">
        <f t="shared" si="33"/>
        <v>2.0260910228036346</v>
      </c>
      <c r="AP53" s="47">
        <f t="shared" si="33"/>
        <v>2.0712954184228098</v>
      </c>
      <c r="AQ53" s="47">
        <f t="shared" si="33"/>
        <v>2.1175083755331991</v>
      </c>
      <c r="AR53" s="47">
        <f t="shared" si="33"/>
        <v>2.1647523962890207</v>
      </c>
      <c r="AS53" s="47">
        <f t="shared" si="33"/>
        <v>2.2130504848931527</v>
      </c>
      <c r="AT53" s="47">
        <f t="shared" si="33"/>
        <v>2.2624261587984082</v>
      </c>
      <c r="AU53" s="47">
        <f t="shared" si="33"/>
        <v>2.3129034601587257</v>
      </c>
      <c r="AV53" s="47">
        <f t="shared" si="33"/>
        <v>2.3645069675358505</v>
      </c>
      <c r="AW53" s="47">
        <f t="shared" si="33"/>
        <v>2.4172618078672001</v>
      </c>
      <c r="AX53" s="47">
        <f t="shared" si="33"/>
        <v>2.4711936687007503</v>
      </c>
      <c r="AY53" s="47">
        <f t="shared" si="33"/>
        <v>2.5263288107028949</v>
      </c>
      <c r="AZ53" s="47">
        <f t="shared" si="33"/>
        <v>2.58269408044537</v>
      </c>
      <c r="BA53" s="47">
        <f t="shared" si="33"/>
        <v>2.6403169234774664</v>
      </c>
      <c r="BB53" s="47">
        <f t="shared" si="33"/>
        <v>2.6992253976899039</v>
      </c>
      <c r="BC53" s="47">
        <f t="shared" si="33"/>
        <v>2.759448186976861</v>
      </c>
      <c r="BD53" s="47">
        <f t="shared" si="33"/>
        <v>2.8210146152028286</v>
      </c>
      <c r="BE53" s="47">
        <f t="shared" si="33"/>
        <v>2.8839546604810722</v>
      </c>
      <c r="BF53" s="47">
        <f t="shared" si="33"/>
        <v>2.9482989697706681</v>
      </c>
      <c r="BG53" s="47">
        <f t="shared" si="33"/>
        <v>3.0140788737992121</v>
      </c>
      <c r="BH53" s="47">
        <f t="shared" si="33"/>
        <v>3.0813264023184788</v>
      </c>
      <c r="BI53" s="47">
        <f t="shared" si="33"/>
        <v>3.1500742997004383</v>
      </c>
      <c r="BJ53" s="47">
        <f t="shared" si="33"/>
        <v>3.2203560408812524</v>
      </c>
      <c r="BK53" s="47">
        <f t="shared" si="33"/>
        <v>3.2922058476609863</v>
      </c>
      <c r="BL53" s="47">
        <f t="shared" si="33"/>
        <v>3.3656587053670011</v>
      </c>
      <c r="BM53" s="47">
        <f t="shared" si="33"/>
        <v>3.4407503798891064</v>
      </c>
      <c r="BN53" s="47">
        <f t="shared" si="33"/>
        <v>3.5175174350948031</v>
      </c>
      <c r="BO53" s="47">
        <f t="shared" si="33"/>
        <v>3.5959972506330717</v>
      </c>
      <c r="BP53" s="47">
        <f t="shared" si="32"/>
        <v>3.676228040135384</v>
      </c>
      <c r="BQ53" s="47">
        <f t="shared" si="32"/>
        <v>3.7582488698228023</v>
      </c>
      <c r="BR53" s="47">
        <f t="shared" si="32"/>
        <v>3.8420996775282239</v>
      </c>
      <c r="BS53" s="47">
        <f t="shared" si="32"/>
        <v>3.9278212921430291</v>
      </c>
      <c r="BT53" s="47">
        <f t="shared" si="32"/>
        <v>4.0154554534976148</v>
      </c>
      <c r="BU53" s="47">
        <f t="shared" si="32"/>
        <v>4.1050448326854783</v>
      </c>
      <c r="BV53" s="47">
        <f t="shared" si="32"/>
        <v>4.1966330528407525</v>
      </c>
      <c r="BW53" s="47">
        <f t="shared" si="32"/>
        <v>4.2902647103793221</v>
      </c>
      <c r="BX53" s="47">
        <f t="shared" si="32"/>
        <v>4.3859853967138411</v>
      </c>
      <c r="BY53" s="47">
        <f t="shared" si="32"/>
        <v>4.4838417204532472</v>
      </c>
    </row>
    <row r="54" spans="1:77" x14ac:dyDescent="0.25">
      <c r="A54" s="116"/>
      <c r="B54" s="46">
        <v>1993</v>
      </c>
      <c r="C54" s="47">
        <f t="shared" si="30"/>
        <v>0.85687674031897954</v>
      </c>
      <c r="D54" s="47">
        <f t="shared" si="33"/>
        <v>0.8759946351866289</v>
      </c>
      <c r="E54" s="47">
        <f t="shared" si="33"/>
        <v>0.89553907203747463</v>
      </c>
      <c r="F54" s="47">
        <f t="shared" si="33"/>
        <v>0.91551956750840024</v>
      </c>
      <c r="G54" s="47">
        <f t="shared" si="33"/>
        <v>0.93594585056328394</v>
      </c>
      <c r="H54" s="47">
        <f t="shared" si="33"/>
        <v>0.95682786723025592</v>
      </c>
      <c r="I54" s="47">
        <f t="shared" si="33"/>
        <v>0.97817578544464889</v>
      </c>
      <c r="J54" s="47">
        <f t="shared" si="33"/>
        <v>1</v>
      </c>
      <c r="K54" s="47">
        <f t="shared" si="33"/>
        <v>1.0223111376095151</v>
      </c>
      <c r="L54" s="47">
        <f t="shared" si="33"/>
        <v>1.0451200620804608</v>
      </c>
      <c r="M54" s="47">
        <f t="shared" si="33"/>
        <v>1.0684378796040028</v>
      </c>
      <c r="N54" s="47">
        <f t="shared" si="33"/>
        <v>1.0922759441630663</v>
      </c>
      <c r="O54" s="47">
        <f t="shared" si="33"/>
        <v>1.1166458630608516</v>
      </c>
      <c r="P54" s="47">
        <f t="shared" si="33"/>
        <v>1.1415595025726979</v>
      </c>
      <c r="Q54" s="47">
        <f t="shared" si="33"/>
        <v>1.1670289937240468</v>
      </c>
      <c r="R54" s="47">
        <f t="shared" si="33"/>
        <v>1.1930667381973179</v>
      </c>
      <c r="S54" s="47">
        <f t="shared" si="33"/>
        <v>1.2196854143705735</v>
      </c>
      <c r="T54" s="47">
        <f t="shared" si="33"/>
        <v>1.2468979834909137</v>
      </c>
      <c r="U54" s="47">
        <f t="shared" si="33"/>
        <v>1.2747176959856064</v>
      </c>
      <c r="V54" s="47">
        <f t="shared" si="33"/>
        <v>1.3031580979140251</v>
      </c>
      <c r="W54" s="47">
        <f t="shared" si="33"/>
        <v>1.3322330375635392</v>
      </c>
      <c r="X54" s="47">
        <f t="shared" si="33"/>
        <v>1.3619566721925613</v>
      </c>
      <c r="Y54" s="47">
        <f t="shared" si="33"/>
        <v>1.3923434749240466</v>
      </c>
      <c r="Z54" s="47">
        <f t="shared" si="33"/>
        <v>1.4234082417927876</v>
      </c>
      <c r="AA54" s="47">
        <f t="shared" si="33"/>
        <v>1.4551660989499444</v>
      </c>
      <c r="AB54" s="47">
        <f t="shared" si="33"/>
        <v>1.4876325100283176</v>
      </c>
      <c r="AC54" s="47">
        <f t="shared" si="33"/>
        <v>1.5208232836719477</v>
      </c>
      <c r="AD54" s="47">
        <f t="shared" si="33"/>
        <v>1.5547545812337071</v>
      </c>
      <c r="AE54" s="47">
        <f t="shared" si="33"/>
        <v>1.5894429246446367</v>
      </c>
      <c r="AF54" s="47">
        <f t="shared" si="33"/>
        <v>1.624905204458853</v>
      </c>
      <c r="AG54" s="47">
        <f t="shared" si="33"/>
        <v>1.6611586880779516</v>
      </c>
      <c r="AH54" s="47">
        <f t="shared" si="33"/>
        <v>1.6982210281589003</v>
      </c>
      <c r="AI54" s="47">
        <f t="shared" si="33"/>
        <v>1.7361102712095255</v>
      </c>
      <c r="AJ54" s="47">
        <f t="shared" si="33"/>
        <v>1.7748448663757739</v>
      </c>
      <c r="AK54" s="47">
        <f t="shared" si="33"/>
        <v>1.814443674425025</v>
      </c>
      <c r="AL54" s="47">
        <f t="shared" si="33"/>
        <v>1.8549259769298359</v>
      </c>
      <c r="AM54" s="47">
        <f t="shared" si="33"/>
        <v>1.8963114856565819</v>
      </c>
      <c r="AN54" s="47">
        <f t="shared" si="33"/>
        <v>1.9386203521635696</v>
      </c>
      <c r="AO54" s="47">
        <f t="shared" si="33"/>
        <v>1.9818731776132974</v>
      </c>
      <c r="AP54" s="47">
        <f t="shared" si="33"/>
        <v>2.0260910228036346</v>
      </c>
      <c r="AQ54" s="47">
        <f t="shared" si="33"/>
        <v>2.0712954184228098</v>
      </c>
      <c r="AR54" s="47">
        <f t="shared" si="33"/>
        <v>2.1175083755331991</v>
      </c>
      <c r="AS54" s="47">
        <f t="shared" si="33"/>
        <v>2.1647523962890207</v>
      </c>
      <c r="AT54" s="47">
        <f t="shared" si="33"/>
        <v>2.2130504848931527</v>
      </c>
      <c r="AU54" s="47">
        <f t="shared" si="33"/>
        <v>2.2624261587984082</v>
      </c>
      <c r="AV54" s="47">
        <f t="shared" si="33"/>
        <v>2.3129034601587257</v>
      </c>
      <c r="AW54" s="47">
        <f t="shared" si="33"/>
        <v>2.3645069675358505</v>
      </c>
      <c r="AX54" s="47">
        <f t="shared" si="33"/>
        <v>2.4172618078672001</v>
      </c>
      <c r="AY54" s="47">
        <f t="shared" si="33"/>
        <v>2.4711936687007503</v>
      </c>
      <c r="AZ54" s="47">
        <f t="shared" si="33"/>
        <v>2.5263288107028949</v>
      </c>
      <c r="BA54" s="47">
        <f t="shared" si="33"/>
        <v>2.58269408044537</v>
      </c>
      <c r="BB54" s="47">
        <f t="shared" si="33"/>
        <v>2.6403169234774664</v>
      </c>
      <c r="BC54" s="47">
        <f t="shared" si="33"/>
        <v>2.6992253976899039</v>
      </c>
      <c r="BD54" s="47">
        <f t="shared" si="33"/>
        <v>2.759448186976861</v>
      </c>
      <c r="BE54" s="47">
        <f t="shared" si="33"/>
        <v>2.8210146152028286</v>
      </c>
      <c r="BF54" s="47">
        <f t="shared" si="33"/>
        <v>2.8839546604810722</v>
      </c>
      <c r="BG54" s="47">
        <f t="shared" si="33"/>
        <v>2.9482989697706681</v>
      </c>
      <c r="BH54" s="47">
        <f t="shared" si="33"/>
        <v>3.0140788737992121</v>
      </c>
      <c r="BI54" s="47">
        <f t="shared" si="33"/>
        <v>3.0813264023184788</v>
      </c>
      <c r="BJ54" s="47">
        <f t="shared" si="33"/>
        <v>3.1500742997004383</v>
      </c>
      <c r="BK54" s="47">
        <f t="shared" si="33"/>
        <v>3.2203560408812524</v>
      </c>
      <c r="BL54" s="47">
        <f t="shared" si="33"/>
        <v>3.2922058476609863</v>
      </c>
      <c r="BM54" s="47">
        <f t="shared" si="33"/>
        <v>3.3656587053670011</v>
      </c>
      <c r="BN54" s="47">
        <f t="shared" si="33"/>
        <v>3.4407503798891064</v>
      </c>
      <c r="BO54" s="47">
        <f t="shared" si="33"/>
        <v>3.5175174350948031</v>
      </c>
      <c r="BP54" s="47">
        <f t="shared" si="32"/>
        <v>3.5959972506330717</v>
      </c>
      <c r="BQ54" s="47">
        <f t="shared" si="32"/>
        <v>3.676228040135384</v>
      </c>
      <c r="BR54" s="47">
        <f t="shared" si="32"/>
        <v>3.7582488698228023</v>
      </c>
      <c r="BS54" s="47">
        <f t="shared" si="32"/>
        <v>3.8420996775282239</v>
      </c>
      <c r="BT54" s="47">
        <f t="shared" si="32"/>
        <v>3.9278212921430291</v>
      </c>
      <c r="BU54" s="47">
        <f t="shared" si="32"/>
        <v>4.0154554534976148</v>
      </c>
      <c r="BV54" s="47">
        <f t="shared" si="32"/>
        <v>4.1050448326854783</v>
      </c>
      <c r="BW54" s="47">
        <f t="shared" si="32"/>
        <v>4.1966330528407525</v>
      </c>
      <c r="BX54" s="47">
        <f t="shared" si="32"/>
        <v>4.2902647103793221</v>
      </c>
      <c r="BY54" s="47">
        <f t="shared" si="32"/>
        <v>4.3859853967138411</v>
      </c>
    </row>
    <row r="55" spans="1:77" x14ac:dyDescent="0.25">
      <c r="A55" s="116"/>
      <c r="B55" s="46">
        <v>1994</v>
      </c>
      <c r="C55" s="47">
        <f t="shared" si="30"/>
        <v>0.83817607849076825</v>
      </c>
      <c r="D55" s="47">
        <f t="shared" si="33"/>
        <v>0.85687674031897954</v>
      </c>
      <c r="E55" s="47">
        <f t="shared" si="33"/>
        <v>0.8759946351866289</v>
      </c>
      <c r="F55" s="47">
        <f t="shared" si="33"/>
        <v>0.89553907203747463</v>
      </c>
      <c r="G55" s="47">
        <f t="shared" si="33"/>
        <v>0.91551956750840024</v>
      </c>
      <c r="H55" s="47">
        <f t="shared" si="33"/>
        <v>0.93594585056328394</v>
      </c>
      <c r="I55" s="47">
        <f t="shared" si="33"/>
        <v>0.95682786723025592</v>
      </c>
      <c r="J55" s="47">
        <f t="shared" si="33"/>
        <v>0.97817578544464889</v>
      </c>
      <c r="K55" s="47">
        <f t="shared" si="33"/>
        <v>1</v>
      </c>
      <c r="L55" s="47">
        <f t="shared" si="33"/>
        <v>1.0223111376095151</v>
      </c>
      <c r="M55" s="47">
        <f t="shared" si="33"/>
        <v>1.0451200620804608</v>
      </c>
      <c r="N55" s="47">
        <f t="shared" si="33"/>
        <v>1.0684378796040028</v>
      </c>
      <c r="O55" s="47">
        <f t="shared" si="33"/>
        <v>1.0922759441630663</v>
      </c>
      <c r="P55" s="47">
        <f t="shared" si="33"/>
        <v>1.1166458630608516</v>
      </c>
      <c r="Q55" s="47">
        <f t="shared" si="33"/>
        <v>1.1415595025726979</v>
      </c>
      <c r="R55" s="47">
        <f t="shared" si="33"/>
        <v>1.1670289937240468</v>
      </c>
      <c r="S55" s="47">
        <f t="shared" si="33"/>
        <v>1.1930667381973179</v>
      </c>
      <c r="T55" s="47">
        <f t="shared" si="33"/>
        <v>1.2196854143705735</v>
      </c>
      <c r="U55" s="47">
        <f t="shared" si="33"/>
        <v>1.2468979834909137</v>
      </c>
      <c r="V55" s="47">
        <f t="shared" si="33"/>
        <v>1.2747176959856064</v>
      </c>
      <c r="W55" s="47">
        <f t="shared" si="33"/>
        <v>1.3031580979140251</v>
      </c>
      <c r="X55" s="47">
        <f t="shared" si="33"/>
        <v>1.3322330375635392</v>
      </c>
      <c r="Y55" s="47">
        <f t="shared" si="33"/>
        <v>1.3619566721925613</v>
      </c>
      <c r="Z55" s="47">
        <f t="shared" si="33"/>
        <v>1.3923434749240466</v>
      </c>
      <c r="AA55" s="47">
        <f t="shared" si="33"/>
        <v>1.4234082417927876</v>
      </c>
      <c r="AB55" s="47">
        <f t="shared" si="33"/>
        <v>1.4551660989499444</v>
      </c>
      <c r="AC55" s="47">
        <f t="shared" si="33"/>
        <v>1.4876325100283176</v>
      </c>
      <c r="AD55" s="47">
        <f t="shared" si="33"/>
        <v>1.5208232836719477</v>
      </c>
      <c r="AE55" s="47">
        <f t="shared" si="33"/>
        <v>1.5547545812337071</v>
      </c>
      <c r="AF55" s="47">
        <f t="shared" si="33"/>
        <v>1.5894429246446367</v>
      </c>
      <c r="AG55" s="47">
        <f t="shared" si="33"/>
        <v>1.624905204458853</v>
      </c>
      <c r="AH55" s="47">
        <f t="shared" si="33"/>
        <v>1.6611586880779516</v>
      </c>
      <c r="AI55" s="47">
        <f t="shared" si="33"/>
        <v>1.6982210281589003</v>
      </c>
      <c r="AJ55" s="47">
        <f t="shared" si="33"/>
        <v>1.7361102712095255</v>
      </c>
      <c r="AK55" s="47">
        <f t="shared" si="33"/>
        <v>1.7748448663757739</v>
      </c>
      <c r="AL55" s="47">
        <f t="shared" si="33"/>
        <v>1.814443674425025</v>
      </c>
      <c r="AM55" s="47">
        <f t="shared" si="33"/>
        <v>1.8549259769298359</v>
      </c>
      <c r="AN55" s="47">
        <f t="shared" si="33"/>
        <v>1.8963114856565819</v>
      </c>
      <c r="AO55" s="47">
        <f t="shared" si="33"/>
        <v>1.9386203521635696</v>
      </c>
      <c r="AP55" s="47">
        <f t="shared" si="33"/>
        <v>1.9818731776132974</v>
      </c>
      <c r="AQ55" s="47">
        <f t="shared" si="33"/>
        <v>2.0260910228036346</v>
      </c>
      <c r="AR55" s="47">
        <f t="shared" si="33"/>
        <v>2.0712954184228098</v>
      </c>
      <c r="AS55" s="47">
        <f t="shared" si="33"/>
        <v>2.1175083755331991</v>
      </c>
      <c r="AT55" s="47">
        <f t="shared" si="33"/>
        <v>2.1647523962890207</v>
      </c>
      <c r="AU55" s="47">
        <f t="shared" si="33"/>
        <v>2.2130504848931527</v>
      </c>
      <c r="AV55" s="47">
        <f t="shared" si="33"/>
        <v>2.2624261587984082</v>
      </c>
      <c r="AW55" s="47">
        <f t="shared" si="33"/>
        <v>2.3129034601587257</v>
      </c>
      <c r="AX55" s="47">
        <f t="shared" si="33"/>
        <v>2.3645069675358505</v>
      </c>
      <c r="AY55" s="47">
        <f t="shared" si="33"/>
        <v>2.4172618078672001</v>
      </c>
      <c r="AZ55" s="47">
        <f t="shared" si="33"/>
        <v>2.4711936687007503</v>
      </c>
      <c r="BA55" s="47">
        <f t="shared" si="33"/>
        <v>2.5263288107028949</v>
      </c>
      <c r="BB55" s="47">
        <f t="shared" si="33"/>
        <v>2.58269408044537</v>
      </c>
      <c r="BC55" s="47">
        <f t="shared" si="33"/>
        <v>2.6403169234774664</v>
      </c>
      <c r="BD55" s="47">
        <f t="shared" si="33"/>
        <v>2.6992253976899039</v>
      </c>
      <c r="BE55" s="47">
        <f t="shared" si="33"/>
        <v>2.759448186976861</v>
      </c>
      <c r="BF55" s="47">
        <f t="shared" si="33"/>
        <v>2.8210146152028286</v>
      </c>
      <c r="BG55" s="47">
        <f t="shared" si="33"/>
        <v>2.8839546604810722</v>
      </c>
      <c r="BH55" s="47">
        <f t="shared" si="33"/>
        <v>2.9482989697706681</v>
      </c>
      <c r="BI55" s="47">
        <f t="shared" si="33"/>
        <v>3.0140788737992121</v>
      </c>
      <c r="BJ55" s="47">
        <f t="shared" si="33"/>
        <v>3.0813264023184788</v>
      </c>
      <c r="BK55" s="47">
        <f t="shared" si="33"/>
        <v>3.1500742997004383</v>
      </c>
      <c r="BL55" s="47">
        <f t="shared" si="33"/>
        <v>3.2203560408812524</v>
      </c>
      <c r="BM55" s="47">
        <f t="shared" si="33"/>
        <v>3.2922058476609863</v>
      </c>
      <c r="BN55" s="47">
        <f t="shared" si="33"/>
        <v>3.3656587053670011</v>
      </c>
      <c r="BO55" s="47">
        <f t="shared" si="33"/>
        <v>3.4407503798891064</v>
      </c>
      <c r="BP55" s="47">
        <f t="shared" si="32"/>
        <v>3.5175174350948031</v>
      </c>
      <c r="BQ55" s="47">
        <f t="shared" si="32"/>
        <v>3.5959972506330717</v>
      </c>
      <c r="BR55" s="47">
        <f t="shared" si="32"/>
        <v>3.676228040135384</v>
      </c>
      <c r="BS55" s="47">
        <f t="shared" si="32"/>
        <v>3.7582488698228023</v>
      </c>
      <c r="BT55" s="47">
        <f t="shared" si="32"/>
        <v>3.8420996775282239</v>
      </c>
      <c r="BU55" s="47">
        <f t="shared" si="32"/>
        <v>3.9278212921430291</v>
      </c>
      <c r="BV55" s="47">
        <f t="shared" si="32"/>
        <v>4.0154554534976148</v>
      </c>
      <c r="BW55" s="47">
        <f t="shared" si="32"/>
        <v>4.1050448326854783</v>
      </c>
      <c r="BX55" s="47">
        <f t="shared" si="32"/>
        <v>4.1966330528407525</v>
      </c>
      <c r="BY55" s="47">
        <f t="shared" si="32"/>
        <v>4.2902647103793221</v>
      </c>
    </row>
    <row r="56" spans="1:77" x14ac:dyDescent="0.25">
      <c r="A56" s="116"/>
      <c r="B56" s="46">
        <v>1995</v>
      </c>
      <c r="C56" s="47">
        <f t="shared" si="30"/>
        <v>0.81988354391862295</v>
      </c>
      <c r="D56" s="47">
        <f t="shared" si="33"/>
        <v>0.83817607849076825</v>
      </c>
      <c r="E56" s="47">
        <f t="shared" si="33"/>
        <v>0.85687674031897954</v>
      </c>
      <c r="F56" s="47">
        <f t="shared" si="33"/>
        <v>0.8759946351866289</v>
      </c>
      <c r="G56" s="47">
        <f t="shared" si="33"/>
        <v>0.89553907203747463</v>
      </c>
      <c r="H56" s="47">
        <f t="shared" si="33"/>
        <v>0.91551956750840024</v>
      </c>
      <c r="I56" s="47">
        <f t="shared" si="33"/>
        <v>0.93594585056328394</v>
      </c>
      <c r="J56" s="47">
        <f t="shared" si="33"/>
        <v>0.95682786723025592</v>
      </c>
      <c r="K56" s="47">
        <f t="shared" si="33"/>
        <v>0.97817578544464889</v>
      </c>
      <c r="L56" s="47">
        <f t="shared" si="33"/>
        <v>1</v>
      </c>
      <c r="M56" s="47">
        <f t="shared" si="33"/>
        <v>1.0223111376095151</v>
      </c>
      <c r="N56" s="47">
        <f t="shared" si="33"/>
        <v>1.0451200620804608</v>
      </c>
      <c r="O56" s="47">
        <f t="shared" si="33"/>
        <v>1.0684378796040028</v>
      </c>
      <c r="P56" s="47">
        <f t="shared" si="33"/>
        <v>1.0922759441630663</v>
      </c>
      <c r="Q56" s="47">
        <f t="shared" si="33"/>
        <v>1.1166458630608516</v>
      </c>
      <c r="R56" s="47">
        <f t="shared" si="33"/>
        <v>1.1415595025726979</v>
      </c>
      <c r="S56" s="47">
        <f t="shared" si="33"/>
        <v>1.1670289937240468</v>
      </c>
      <c r="T56" s="47">
        <f t="shared" si="33"/>
        <v>1.1930667381973179</v>
      </c>
      <c r="U56" s="47">
        <f t="shared" si="33"/>
        <v>1.2196854143705735</v>
      </c>
      <c r="V56" s="47">
        <f t="shared" si="33"/>
        <v>1.2468979834909137</v>
      </c>
      <c r="W56" s="47">
        <f t="shared" si="33"/>
        <v>1.2747176959856064</v>
      </c>
      <c r="X56" s="47">
        <f t="shared" si="33"/>
        <v>1.3031580979140251</v>
      </c>
      <c r="Y56" s="47">
        <f t="shared" si="33"/>
        <v>1.3322330375635392</v>
      </c>
      <c r="Z56" s="47">
        <f t="shared" si="33"/>
        <v>1.3619566721925613</v>
      </c>
      <c r="AA56" s="47">
        <f t="shared" si="33"/>
        <v>1.3923434749240466</v>
      </c>
      <c r="AB56" s="47">
        <f t="shared" si="33"/>
        <v>1.4234082417927876</v>
      </c>
      <c r="AC56" s="47">
        <f t="shared" si="33"/>
        <v>1.4551660989499444</v>
      </c>
      <c r="AD56" s="47">
        <f t="shared" si="33"/>
        <v>1.4876325100283176</v>
      </c>
      <c r="AE56" s="47">
        <f t="shared" si="33"/>
        <v>1.5208232836719477</v>
      </c>
      <c r="AF56" s="47">
        <f t="shared" si="33"/>
        <v>1.5547545812337071</v>
      </c>
      <c r="AG56" s="47">
        <f t="shared" si="33"/>
        <v>1.5894429246446367</v>
      </c>
      <c r="AH56" s="47">
        <f t="shared" si="33"/>
        <v>1.624905204458853</v>
      </c>
      <c r="AI56" s="47">
        <f t="shared" si="33"/>
        <v>1.6611586880779516</v>
      </c>
      <c r="AJ56" s="47">
        <f t="shared" si="33"/>
        <v>1.6982210281589003</v>
      </c>
      <c r="AK56" s="47">
        <f t="shared" si="33"/>
        <v>1.7361102712095255</v>
      </c>
      <c r="AL56" s="47">
        <f t="shared" si="33"/>
        <v>1.7748448663757739</v>
      </c>
      <c r="AM56" s="47">
        <f t="shared" si="33"/>
        <v>1.814443674425025</v>
      </c>
      <c r="AN56" s="47">
        <f t="shared" si="33"/>
        <v>1.8549259769298359</v>
      </c>
      <c r="AO56" s="47">
        <f t="shared" si="33"/>
        <v>1.8963114856565819</v>
      </c>
      <c r="AP56" s="47">
        <f t="shared" si="33"/>
        <v>1.9386203521635696</v>
      </c>
      <c r="AQ56" s="47">
        <f t="shared" si="33"/>
        <v>1.9818731776132974</v>
      </c>
      <c r="AR56" s="47">
        <f t="shared" si="33"/>
        <v>2.0260910228036346</v>
      </c>
      <c r="AS56" s="47">
        <f t="shared" si="33"/>
        <v>2.0712954184228098</v>
      </c>
      <c r="AT56" s="47">
        <f t="shared" si="33"/>
        <v>2.1175083755331991</v>
      </c>
      <c r="AU56" s="47">
        <f t="shared" si="33"/>
        <v>2.1647523962890207</v>
      </c>
      <c r="AV56" s="47">
        <f t="shared" si="33"/>
        <v>2.2130504848931527</v>
      </c>
      <c r="AW56" s="47">
        <f t="shared" si="33"/>
        <v>2.2624261587984082</v>
      </c>
      <c r="AX56" s="47">
        <f t="shared" si="33"/>
        <v>2.3129034601587257</v>
      </c>
      <c r="AY56" s="47">
        <f t="shared" si="33"/>
        <v>2.3645069675358505</v>
      </c>
      <c r="AZ56" s="47">
        <f t="shared" si="33"/>
        <v>2.4172618078672001</v>
      </c>
      <c r="BA56" s="47">
        <f t="shared" si="33"/>
        <v>2.4711936687007503</v>
      </c>
      <c r="BB56" s="47">
        <f t="shared" si="33"/>
        <v>2.5263288107028949</v>
      </c>
      <c r="BC56" s="47">
        <f t="shared" si="33"/>
        <v>2.58269408044537</v>
      </c>
      <c r="BD56" s="47">
        <f t="shared" si="33"/>
        <v>2.6403169234774664</v>
      </c>
      <c r="BE56" s="47">
        <f t="shared" si="33"/>
        <v>2.6992253976899039</v>
      </c>
      <c r="BF56" s="47">
        <f t="shared" si="33"/>
        <v>2.759448186976861</v>
      </c>
      <c r="BG56" s="47">
        <f t="shared" si="33"/>
        <v>2.8210146152028286</v>
      </c>
      <c r="BH56" s="47">
        <f t="shared" si="33"/>
        <v>2.8839546604810722</v>
      </c>
      <c r="BI56" s="47">
        <f t="shared" si="33"/>
        <v>2.9482989697706681</v>
      </c>
      <c r="BJ56" s="47">
        <f t="shared" si="33"/>
        <v>3.0140788737992121</v>
      </c>
      <c r="BK56" s="47">
        <f t="shared" si="33"/>
        <v>3.0813264023184788</v>
      </c>
      <c r="BL56" s="47">
        <f t="shared" si="33"/>
        <v>3.1500742997004383</v>
      </c>
      <c r="BM56" s="47">
        <f t="shared" si="33"/>
        <v>3.2203560408812524</v>
      </c>
      <c r="BN56" s="47">
        <f t="shared" si="33"/>
        <v>3.2922058476609863</v>
      </c>
      <c r="BO56" s="47">
        <f t="shared" ref="BO56:BY59" si="34">(1+$F$44)^(BO$46-$B56)</f>
        <v>3.3656587053670011</v>
      </c>
      <c r="BP56" s="47">
        <f t="shared" si="34"/>
        <v>3.4407503798891064</v>
      </c>
      <c r="BQ56" s="47">
        <f t="shared" si="34"/>
        <v>3.5175174350948031</v>
      </c>
      <c r="BR56" s="47">
        <f t="shared" si="34"/>
        <v>3.5959972506330717</v>
      </c>
      <c r="BS56" s="47">
        <f t="shared" si="34"/>
        <v>3.676228040135384</v>
      </c>
      <c r="BT56" s="47">
        <f t="shared" si="34"/>
        <v>3.7582488698228023</v>
      </c>
      <c r="BU56" s="47">
        <f t="shared" si="34"/>
        <v>3.8420996775282239</v>
      </c>
      <c r="BV56" s="47">
        <f t="shared" si="34"/>
        <v>3.9278212921430291</v>
      </c>
      <c r="BW56" s="47">
        <f t="shared" si="34"/>
        <v>4.0154554534976148</v>
      </c>
      <c r="BX56" s="47">
        <f t="shared" si="34"/>
        <v>4.1050448326854783</v>
      </c>
      <c r="BY56" s="47">
        <f t="shared" si="34"/>
        <v>4.1966330528407525</v>
      </c>
    </row>
    <row r="57" spans="1:77" x14ac:dyDescent="0.25">
      <c r="A57" s="116"/>
      <c r="B57" s="46">
        <v>1996</v>
      </c>
      <c r="C57" s="47">
        <f t="shared" si="30"/>
        <v>0.8019902295457414</v>
      </c>
      <c r="D57" s="47">
        <f t="shared" ref="D57:BO60" si="35">(1+$F$44)^(D$46-$B57)</f>
        <v>0.81988354391862295</v>
      </c>
      <c r="E57" s="47">
        <f t="shared" si="35"/>
        <v>0.83817607849076825</v>
      </c>
      <c r="F57" s="47">
        <f t="shared" si="35"/>
        <v>0.85687674031897954</v>
      </c>
      <c r="G57" s="47">
        <f t="shared" si="35"/>
        <v>0.8759946351866289</v>
      </c>
      <c r="H57" s="47">
        <f t="shared" si="35"/>
        <v>0.89553907203747463</v>
      </c>
      <c r="I57" s="47">
        <f t="shared" si="35"/>
        <v>0.91551956750840024</v>
      </c>
      <c r="J57" s="47">
        <f t="shared" si="35"/>
        <v>0.93594585056328394</v>
      </c>
      <c r="K57" s="47">
        <f t="shared" si="35"/>
        <v>0.95682786723025592</v>
      </c>
      <c r="L57" s="47">
        <f t="shared" si="35"/>
        <v>0.97817578544464889</v>
      </c>
      <c r="M57" s="47">
        <f t="shared" si="35"/>
        <v>1</v>
      </c>
      <c r="N57" s="47">
        <f t="shared" si="35"/>
        <v>1.0223111376095151</v>
      </c>
      <c r="O57" s="47">
        <f t="shared" si="35"/>
        <v>1.0451200620804608</v>
      </c>
      <c r="P57" s="47">
        <f t="shared" si="35"/>
        <v>1.0684378796040028</v>
      </c>
      <c r="Q57" s="47">
        <f t="shared" si="35"/>
        <v>1.0922759441630663</v>
      </c>
      <c r="R57" s="47">
        <f t="shared" si="35"/>
        <v>1.1166458630608516</v>
      </c>
      <c r="S57" s="47">
        <f t="shared" si="35"/>
        <v>1.1415595025726979</v>
      </c>
      <c r="T57" s="47">
        <f t="shared" si="35"/>
        <v>1.1670289937240468</v>
      </c>
      <c r="U57" s="47">
        <f t="shared" si="35"/>
        <v>1.1930667381973179</v>
      </c>
      <c r="V57" s="47">
        <f t="shared" si="35"/>
        <v>1.2196854143705735</v>
      </c>
      <c r="W57" s="47">
        <f t="shared" si="35"/>
        <v>1.2468979834909137</v>
      </c>
      <c r="X57" s="47">
        <f t="shared" si="35"/>
        <v>1.2747176959856064</v>
      </c>
      <c r="Y57" s="47">
        <f t="shared" si="35"/>
        <v>1.3031580979140251</v>
      </c>
      <c r="Z57" s="47">
        <f t="shared" si="35"/>
        <v>1.3322330375635392</v>
      </c>
      <c r="AA57" s="47">
        <f t="shared" si="35"/>
        <v>1.3619566721925613</v>
      </c>
      <c r="AB57" s="47">
        <f t="shared" si="35"/>
        <v>1.3923434749240466</v>
      </c>
      <c r="AC57" s="47">
        <f t="shared" si="35"/>
        <v>1.4234082417927876</v>
      </c>
      <c r="AD57" s="47">
        <f t="shared" si="35"/>
        <v>1.4551660989499444</v>
      </c>
      <c r="AE57" s="47">
        <f t="shared" si="35"/>
        <v>1.4876325100283176</v>
      </c>
      <c r="AF57" s="47">
        <f t="shared" si="35"/>
        <v>1.5208232836719477</v>
      </c>
      <c r="AG57" s="47">
        <f t="shared" si="35"/>
        <v>1.5547545812337071</v>
      </c>
      <c r="AH57" s="47">
        <f t="shared" si="35"/>
        <v>1.5894429246446367</v>
      </c>
      <c r="AI57" s="47">
        <f t="shared" si="35"/>
        <v>1.624905204458853</v>
      </c>
      <c r="AJ57" s="47">
        <f t="shared" si="35"/>
        <v>1.6611586880779516</v>
      </c>
      <c r="AK57" s="47">
        <f t="shared" si="35"/>
        <v>1.6982210281589003</v>
      </c>
      <c r="AL57" s="47">
        <f t="shared" si="35"/>
        <v>1.7361102712095255</v>
      </c>
      <c r="AM57" s="47">
        <f t="shared" si="35"/>
        <v>1.7748448663757739</v>
      </c>
      <c r="AN57" s="47">
        <f t="shared" si="35"/>
        <v>1.814443674425025</v>
      </c>
      <c r="AO57" s="47">
        <f t="shared" si="35"/>
        <v>1.8549259769298359</v>
      </c>
      <c r="AP57" s="47">
        <f t="shared" si="35"/>
        <v>1.8963114856565819</v>
      </c>
      <c r="AQ57" s="47">
        <f t="shared" si="35"/>
        <v>1.9386203521635696</v>
      </c>
      <c r="AR57" s="47">
        <f t="shared" si="35"/>
        <v>1.9818731776132974</v>
      </c>
      <c r="AS57" s="47">
        <f t="shared" si="35"/>
        <v>2.0260910228036346</v>
      </c>
      <c r="AT57" s="47">
        <f t="shared" si="35"/>
        <v>2.0712954184228098</v>
      </c>
      <c r="AU57" s="47">
        <f t="shared" si="35"/>
        <v>2.1175083755331991</v>
      </c>
      <c r="AV57" s="47">
        <f t="shared" si="35"/>
        <v>2.1647523962890207</v>
      </c>
      <c r="AW57" s="47">
        <f t="shared" si="35"/>
        <v>2.2130504848931527</v>
      </c>
      <c r="AX57" s="47">
        <f t="shared" si="35"/>
        <v>2.2624261587984082</v>
      </c>
      <c r="AY57" s="47">
        <f t="shared" si="35"/>
        <v>2.3129034601587257</v>
      </c>
      <c r="AZ57" s="47">
        <f t="shared" si="35"/>
        <v>2.3645069675358505</v>
      </c>
      <c r="BA57" s="47">
        <f t="shared" si="35"/>
        <v>2.4172618078672001</v>
      </c>
      <c r="BB57" s="47">
        <f t="shared" si="35"/>
        <v>2.4711936687007503</v>
      </c>
      <c r="BC57" s="47">
        <f t="shared" si="35"/>
        <v>2.5263288107028949</v>
      </c>
      <c r="BD57" s="47">
        <f t="shared" si="35"/>
        <v>2.58269408044537</v>
      </c>
      <c r="BE57" s="47">
        <f t="shared" si="35"/>
        <v>2.6403169234774664</v>
      </c>
      <c r="BF57" s="47">
        <f t="shared" si="35"/>
        <v>2.6992253976899039</v>
      </c>
      <c r="BG57" s="47">
        <f t="shared" si="35"/>
        <v>2.759448186976861</v>
      </c>
      <c r="BH57" s="47">
        <f t="shared" si="35"/>
        <v>2.8210146152028286</v>
      </c>
      <c r="BI57" s="47">
        <f t="shared" si="35"/>
        <v>2.8839546604810722</v>
      </c>
      <c r="BJ57" s="47">
        <f t="shared" si="35"/>
        <v>2.9482989697706681</v>
      </c>
      <c r="BK57" s="47">
        <f t="shared" si="35"/>
        <v>3.0140788737992121</v>
      </c>
      <c r="BL57" s="47">
        <f t="shared" si="35"/>
        <v>3.0813264023184788</v>
      </c>
      <c r="BM57" s="47">
        <f t="shared" si="35"/>
        <v>3.1500742997004383</v>
      </c>
      <c r="BN57" s="47">
        <f t="shared" si="35"/>
        <v>3.2203560408812524</v>
      </c>
      <c r="BO57" s="47">
        <f t="shared" si="35"/>
        <v>3.2922058476609863</v>
      </c>
      <c r="BP57" s="47">
        <f t="shared" si="34"/>
        <v>3.3656587053670011</v>
      </c>
      <c r="BQ57" s="47">
        <f t="shared" si="34"/>
        <v>3.4407503798891064</v>
      </c>
      <c r="BR57" s="47">
        <f t="shared" si="34"/>
        <v>3.5175174350948031</v>
      </c>
      <c r="BS57" s="47">
        <f t="shared" si="34"/>
        <v>3.5959972506330717</v>
      </c>
      <c r="BT57" s="47">
        <f t="shared" si="34"/>
        <v>3.676228040135384</v>
      </c>
      <c r="BU57" s="47">
        <f t="shared" si="34"/>
        <v>3.7582488698228023</v>
      </c>
      <c r="BV57" s="47">
        <f t="shared" si="34"/>
        <v>3.8420996775282239</v>
      </c>
      <c r="BW57" s="47">
        <f t="shared" si="34"/>
        <v>3.9278212921430291</v>
      </c>
      <c r="BX57" s="47">
        <f t="shared" si="34"/>
        <v>4.0154554534976148</v>
      </c>
      <c r="BY57" s="47">
        <f t="shared" si="34"/>
        <v>4.1050448326854783</v>
      </c>
    </row>
    <row r="58" spans="1:77" x14ac:dyDescent="0.25">
      <c r="A58" s="116"/>
      <c r="B58" s="46">
        <v>1997</v>
      </c>
      <c r="C58" s="47">
        <f t="shared" si="30"/>
        <v>0.78448742270483995</v>
      </c>
      <c r="D58" s="47">
        <f t="shared" si="35"/>
        <v>0.8019902295457414</v>
      </c>
      <c r="E58" s="47">
        <f t="shared" si="35"/>
        <v>0.81988354391862295</v>
      </c>
      <c r="F58" s="47">
        <f t="shared" si="35"/>
        <v>0.83817607849076825</v>
      </c>
      <c r="G58" s="47">
        <f t="shared" si="35"/>
        <v>0.85687674031897954</v>
      </c>
      <c r="H58" s="47">
        <f t="shared" si="35"/>
        <v>0.8759946351866289</v>
      </c>
      <c r="I58" s="47">
        <f t="shared" si="35"/>
        <v>0.89553907203747463</v>
      </c>
      <c r="J58" s="47">
        <f t="shared" si="35"/>
        <v>0.91551956750840024</v>
      </c>
      <c r="K58" s="47">
        <f t="shared" si="35"/>
        <v>0.93594585056328394</v>
      </c>
      <c r="L58" s="47">
        <f t="shared" si="35"/>
        <v>0.95682786723025592</v>
      </c>
      <c r="M58" s="47">
        <f t="shared" si="35"/>
        <v>0.97817578544464889</v>
      </c>
      <c r="N58" s="47">
        <f t="shared" si="35"/>
        <v>1</v>
      </c>
      <c r="O58" s="47">
        <f t="shared" si="35"/>
        <v>1.0223111376095151</v>
      </c>
      <c r="P58" s="47">
        <f t="shared" si="35"/>
        <v>1.0451200620804608</v>
      </c>
      <c r="Q58" s="47">
        <f t="shared" si="35"/>
        <v>1.0684378796040028</v>
      </c>
      <c r="R58" s="47">
        <f t="shared" si="35"/>
        <v>1.0922759441630663</v>
      </c>
      <c r="S58" s="47">
        <f t="shared" si="35"/>
        <v>1.1166458630608516</v>
      </c>
      <c r="T58" s="47">
        <f t="shared" si="35"/>
        <v>1.1415595025726979</v>
      </c>
      <c r="U58" s="47">
        <f t="shared" si="35"/>
        <v>1.1670289937240468</v>
      </c>
      <c r="V58" s="47">
        <f t="shared" si="35"/>
        <v>1.1930667381973179</v>
      </c>
      <c r="W58" s="47">
        <f t="shared" si="35"/>
        <v>1.2196854143705735</v>
      </c>
      <c r="X58" s="47">
        <f t="shared" si="35"/>
        <v>1.2468979834909137</v>
      </c>
      <c r="Y58" s="47">
        <f t="shared" si="35"/>
        <v>1.2747176959856064</v>
      </c>
      <c r="Z58" s="47">
        <f t="shared" si="35"/>
        <v>1.3031580979140251</v>
      </c>
      <c r="AA58" s="47">
        <f t="shared" si="35"/>
        <v>1.3322330375635392</v>
      </c>
      <c r="AB58" s="47">
        <f t="shared" si="35"/>
        <v>1.3619566721925613</v>
      </c>
      <c r="AC58" s="47">
        <f t="shared" si="35"/>
        <v>1.3923434749240466</v>
      </c>
      <c r="AD58" s="47">
        <f t="shared" si="35"/>
        <v>1.4234082417927876</v>
      </c>
      <c r="AE58" s="47">
        <f t="shared" si="35"/>
        <v>1.4551660989499444</v>
      </c>
      <c r="AF58" s="47">
        <f t="shared" si="35"/>
        <v>1.4876325100283176</v>
      </c>
      <c r="AG58" s="47">
        <f t="shared" si="35"/>
        <v>1.5208232836719477</v>
      </c>
      <c r="AH58" s="47">
        <f t="shared" si="35"/>
        <v>1.5547545812337071</v>
      </c>
      <c r="AI58" s="47">
        <f t="shared" si="35"/>
        <v>1.5894429246446367</v>
      </c>
      <c r="AJ58" s="47">
        <f t="shared" si="35"/>
        <v>1.624905204458853</v>
      </c>
      <c r="AK58" s="47">
        <f t="shared" si="35"/>
        <v>1.6611586880779516</v>
      </c>
      <c r="AL58" s="47">
        <f t="shared" si="35"/>
        <v>1.6982210281589003</v>
      </c>
      <c r="AM58" s="47">
        <f t="shared" si="35"/>
        <v>1.7361102712095255</v>
      </c>
      <c r="AN58" s="47">
        <f t="shared" si="35"/>
        <v>1.7748448663757739</v>
      </c>
      <c r="AO58" s="47">
        <f t="shared" si="35"/>
        <v>1.814443674425025</v>
      </c>
      <c r="AP58" s="47">
        <f t="shared" si="35"/>
        <v>1.8549259769298359</v>
      </c>
      <c r="AQ58" s="47">
        <f t="shared" si="35"/>
        <v>1.8963114856565819</v>
      </c>
      <c r="AR58" s="47">
        <f t="shared" si="35"/>
        <v>1.9386203521635696</v>
      </c>
      <c r="AS58" s="47">
        <f t="shared" si="35"/>
        <v>1.9818731776132974</v>
      </c>
      <c r="AT58" s="47">
        <f t="shared" si="35"/>
        <v>2.0260910228036346</v>
      </c>
      <c r="AU58" s="47">
        <f t="shared" si="35"/>
        <v>2.0712954184228098</v>
      </c>
      <c r="AV58" s="47">
        <f t="shared" si="35"/>
        <v>2.1175083755331991</v>
      </c>
      <c r="AW58" s="47">
        <f t="shared" si="35"/>
        <v>2.1647523962890207</v>
      </c>
      <c r="AX58" s="47">
        <f t="shared" si="35"/>
        <v>2.2130504848931527</v>
      </c>
      <c r="AY58" s="47">
        <f t="shared" si="35"/>
        <v>2.2624261587984082</v>
      </c>
      <c r="AZ58" s="47">
        <f t="shared" si="35"/>
        <v>2.3129034601587257</v>
      </c>
      <c r="BA58" s="47">
        <f t="shared" si="35"/>
        <v>2.3645069675358505</v>
      </c>
      <c r="BB58" s="47">
        <f t="shared" si="35"/>
        <v>2.4172618078672001</v>
      </c>
      <c r="BC58" s="47">
        <f t="shared" si="35"/>
        <v>2.4711936687007503</v>
      </c>
      <c r="BD58" s="47">
        <f t="shared" si="35"/>
        <v>2.5263288107028949</v>
      </c>
      <c r="BE58" s="47">
        <f t="shared" si="35"/>
        <v>2.58269408044537</v>
      </c>
      <c r="BF58" s="47">
        <f t="shared" si="35"/>
        <v>2.6403169234774664</v>
      </c>
      <c r="BG58" s="47">
        <f t="shared" si="35"/>
        <v>2.6992253976899039</v>
      </c>
      <c r="BH58" s="47">
        <f t="shared" si="35"/>
        <v>2.759448186976861</v>
      </c>
      <c r="BI58" s="47">
        <f t="shared" si="35"/>
        <v>2.8210146152028286</v>
      </c>
      <c r="BJ58" s="47">
        <f t="shared" si="35"/>
        <v>2.8839546604810722</v>
      </c>
      <c r="BK58" s="47">
        <f t="shared" si="35"/>
        <v>2.9482989697706681</v>
      </c>
      <c r="BL58" s="47">
        <f t="shared" si="35"/>
        <v>3.0140788737992121</v>
      </c>
      <c r="BM58" s="47">
        <f t="shared" si="35"/>
        <v>3.0813264023184788</v>
      </c>
      <c r="BN58" s="47">
        <f t="shared" si="35"/>
        <v>3.1500742997004383</v>
      </c>
      <c r="BO58" s="47">
        <f t="shared" si="35"/>
        <v>3.2203560408812524</v>
      </c>
      <c r="BP58" s="47">
        <f t="shared" si="34"/>
        <v>3.2922058476609863</v>
      </c>
      <c r="BQ58" s="47">
        <f t="shared" si="34"/>
        <v>3.3656587053670011</v>
      </c>
      <c r="BR58" s="47">
        <f t="shared" si="34"/>
        <v>3.4407503798891064</v>
      </c>
      <c r="BS58" s="47">
        <f t="shared" si="34"/>
        <v>3.5175174350948031</v>
      </c>
      <c r="BT58" s="47">
        <f t="shared" si="34"/>
        <v>3.5959972506330717</v>
      </c>
      <c r="BU58" s="47">
        <f t="shared" si="34"/>
        <v>3.676228040135384</v>
      </c>
      <c r="BV58" s="47">
        <f t="shared" si="34"/>
        <v>3.7582488698228023</v>
      </c>
      <c r="BW58" s="47">
        <f t="shared" si="34"/>
        <v>3.8420996775282239</v>
      </c>
      <c r="BX58" s="47">
        <f t="shared" si="34"/>
        <v>3.9278212921430291</v>
      </c>
      <c r="BY58" s="47">
        <f t="shared" si="34"/>
        <v>4.0154554534976148</v>
      </c>
    </row>
    <row r="59" spans="1:77" x14ac:dyDescent="0.25">
      <c r="A59" s="116"/>
      <c r="B59" s="46">
        <v>1998</v>
      </c>
      <c r="C59" s="47">
        <f t="shared" si="30"/>
        <v>0.76736660087575514</v>
      </c>
      <c r="D59" s="47">
        <f t="shared" si="35"/>
        <v>0.78448742270483995</v>
      </c>
      <c r="E59" s="47">
        <f t="shared" si="35"/>
        <v>0.8019902295457414</v>
      </c>
      <c r="F59" s="47">
        <f t="shared" si="35"/>
        <v>0.81988354391862295</v>
      </c>
      <c r="G59" s="47">
        <f t="shared" si="35"/>
        <v>0.83817607849076825</v>
      </c>
      <c r="H59" s="47">
        <f t="shared" si="35"/>
        <v>0.85687674031897954</v>
      </c>
      <c r="I59" s="47">
        <f t="shared" si="35"/>
        <v>0.8759946351866289</v>
      </c>
      <c r="J59" s="47">
        <f t="shared" si="35"/>
        <v>0.89553907203747463</v>
      </c>
      <c r="K59" s="47">
        <f t="shared" si="35"/>
        <v>0.91551956750840024</v>
      </c>
      <c r="L59" s="47">
        <f t="shared" si="35"/>
        <v>0.93594585056328394</v>
      </c>
      <c r="M59" s="47">
        <f t="shared" si="35"/>
        <v>0.95682786723025592</v>
      </c>
      <c r="N59" s="47">
        <f t="shared" si="35"/>
        <v>0.97817578544464889</v>
      </c>
      <c r="O59" s="47">
        <f t="shared" si="35"/>
        <v>1</v>
      </c>
      <c r="P59" s="47">
        <f t="shared" si="35"/>
        <v>1.0223111376095151</v>
      </c>
      <c r="Q59" s="47">
        <f t="shared" si="35"/>
        <v>1.0451200620804608</v>
      </c>
      <c r="R59" s="47">
        <f t="shared" si="35"/>
        <v>1.0684378796040028</v>
      </c>
      <c r="S59" s="47">
        <f t="shared" si="35"/>
        <v>1.0922759441630663</v>
      </c>
      <c r="T59" s="47">
        <f t="shared" si="35"/>
        <v>1.1166458630608516</v>
      </c>
      <c r="U59" s="47">
        <f t="shared" si="35"/>
        <v>1.1415595025726979</v>
      </c>
      <c r="V59" s="47">
        <f t="shared" si="35"/>
        <v>1.1670289937240468</v>
      </c>
      <c r="W59" s="47">
        <f t="shared" si="35"/>
        <v>1.1930667381973179</v>
      </c>
      <c r="X59" s="47">
        <f t="shared" si="35"/>
        <v>1.2196854143705735</v>
      </c>
      <c r="Y59" s="47">
        <f t="shared" si="35"/>
        <v>1.2468979834909137</v>
      </c>
      <c r="Z59" s="47">
        <f t="shared" si="35"/>
        <v>1.2747176959856064</v>
      </c>
      <c r="AA59" s="47">
        <f t="shared" si="35"/>
        <v>1.3031580979140251</v>
      </c>
      <c r="AB59" s="47">
        <f t="shared" si="35"/>
        <v>1.3322330375635392</v>
      </c>
      <c r="AC59" s="47">
        <f t="shared" si="35"/>
        <v>1.3619566721925613</v>
      </c>
      <c r="AD59" s="47">
        <f t="shared" si="35"/>
        <v>1.3923434749240466</v>
      </c>
      <c r="AE59" s="47">
        <f t="shared" si="35"/>
        <v>1.4234082417927876</v>
      </c>
      <c r="AF59" s="47">
        <f t="shared" si="35"/>
        <v>1.4551660989499444</v>
      </c>
      <c r="AG59" s="47">
        <f t="shared" si="35"/>
        <v>1.4876325100283176</v>
      </c>
      <c r="AH59" s="47">
        <f t="shared" si="35"/>
        <v>1.5208232836719477</v>
      </c>
      <c r="AI59" s="47">
        <f t="shared" si="35"/>
        <v>1.5547545812337071</v>
      </c>
      <c r="AJ59" s="47">
        <f t="shared" si="35"/>
        <v>1.5894429246446367</v>
      </c>
      <c r="AK59" s="47">
        <f t="shared" si="35"/>
        <v>1.624905204458853</v>
      </c>
      <c r="AL59" s="47">
        <f t="shared" si="35"/>
        <v>1.6611586880779516</v>
      </c>
      <c r="AM59" s="47">
        <f t="shared" si="35"/>
        <v>1.6982210281589003</v>
      </c>
      <c r="AN59" s="47">
        <f t="shared" si="35"/>
        <v>1.7361102712095255</v>
      </c>
      <c r="AO59" s="47">
        <f t="shared" si="35"/>
        <v>1.7748448663757739</v>
      </c>
      <c r="AP59" s="47">
        <f t="shared" si="35"/>
        <v>1.814443674425025</v>
      </c>
      <c r="AQ59" s="47">
        <f t="shared" si="35"/>
        <v>1.8549259769298359</v>
      </c>
      <c r="AR59" s="47">
        <f t="shared" si="35"/>
        <v>1.8963114856565819</v>
      </c>
      <c r="AS59" s="47">
        <f t="shared" si="35"/>
        <v>1.9386203521635696</v>
      </c>
      <c r="AT59" s="47">
        <f t="shared" si="35"/>
        <v>1.9818731776132974</v>
      </c>
      <c r="AU59" s="47">
        <f t="shared" si="35"/>
        <v>2.0260910228036346</v>
      </c>
      <c r="AV59" s="47">
        <f t="shared" si="35"/>
        <v>2.0712954184228098</v>
      </c>
      <c r="AW59" s="47">
        <f t="shared" si="35"/>
        <v>2.1175083755331991</v>
      </c>
      <c r="AX59" s="47">
        <f t="shared" si="35"/>
        <v>2.1647523962890207</v>
      </c>
      <c r="AY59" s="47">
        <f t="shared" si="35"/>
        <v>2.2130504848931527</v>
      </c>
      <c r="AZ59" s="47">
        <f t="shared" si="35"/>
        <v>2.2624261587984082</v>
      </c>
      <c r="BA59" s="47">
        <f t="shared" si="35"/>
        <v>2.3129034601587257</v>
      </c>
      <c r="BB59" s="47">
        <f t="shared" si="35"/>
        <v>2.3645069675358505</v>
      </c>
      <c r="BC59" s="47">
        <f t="shared" si="35"/>
        <v>2.4172618078672001</v>
      </c>
      <c r="BD59" s="47">
        <f t="shared" si="35"/>
        <v>2.4711936687007503</v>
      </c>
      <c r="BE59" s="47">
        <f t="shared" si="35"/>
        <v>2.5263288107028949</v>
      </c>
      <c r="BF59" s="47">
        <f t="shared" si="35"/>
        <v>2.58269408044537</v>
      </c>
      <c r="BG59" s="47">
        <f t="shared" si="35"/>
        <v>2.6403169234774664</v>
      </c>
      <c r="BH59" s="47">
        <f t="shared" si="35"/>
        <v>2.6992253976899039</v>
      </c>
      <c r="BI59" s="47">
        <f t="shared" si="35"/>
        <v>2.759448186976861</v>
      </c>
      <c r="BJ59" s="47">
        <f t="shared" si="35"/>
        <v>2.8210146152028286</v>
      </c>
      <c r="BK59" s="47">
        <f t="shared" si="35"/>
        <v>2.8839546604810722</v>
      </c>
      <c r="BL59" s="47">
        <f t="shared" si="35"/>
        <v>2.9482989697706681</v>
      </c>
      <c r="BM59" s="47">
        <f t="shared" si="35"/>
        <v>3.0140788737992121</v>
      </c>
      <c r="BN59" s="47">
        <f t="shared" si="35"/>
        <v>3.0813264023184788</v>
      </c>
      <c r="BO59" s="47">
        <f t="shared" si="35"/>
        <v>3.1500742997004383</v>
      </c>
      <c r="BP59" s="47">
        <f t="shared" si="34"/>
        <v>3.2203560408812524</v>
      </c>
      <c r="BQ59" s="47">
        <f t="shared" si="34"/>
        <v>3.2922058476609863</v>
      </c>
      <c r="BR59" s="47">
        <f t="shared" si="34"/>
        <v>3.3656587053670011</v>
      </c>
      <c r="BS59" s="47">
        <f t="shared" si="34"/>
        <v>3.4407503798891064</v>
      </c>
      <c r="BT59" s="47">
        <f t="shared" si="34"/>
        <v>3.5175174350948031</v>
      </c>
      <c r="BU59" s="47">
        <f t="shared" si="34"/>
        <v>3.5959972506330717</v>
      </c>
      <c r="BV59" s="47">
        <f t="shared" si="34"/>
        <v>3.676228040135384</v>
      </c>
      <c r="BW59" s="47">
        <f t="shared" si="34"/>
        <v>3.7582488698228023</v>
      </c>
      <c r="BX59" s="47">
        <f t="shared" si="34"/>
        <v>3.8420996775282239</v>
      </c>
      <c r="BY59" s="47">
        <f t="shared" si="34"/>
        <v>3.9278212921430291</v>
      </c>
    </row>
    <row r="60" spans="1:77" x14ac:dyDescent="0.25">
      <c r="A60" s="116"/>
      <c r="B60" s="46">
        <v>1999</v>
      </c>
      <c r="C60" s="47">
        <f t="shared" si="30"/>
        <v>0.75061942753563204</v>
      </c>
      <c r="D60" s="47">
        <f t="shared" si="35"/>
        <v>0.76736660087575514</v>
      </c>
      <c r="E60" s="47">
        <f t="shared" si="35"/>
        <v>0.78448742270483995</v>
      </c>
      <c r="F60" s="47">
        <f t="shared" si="35"/>
        <v>0.8019902295457414</v>
      </c>
      <c r="G60" s="47">
        <f t="shared" si="35"/>
        <v>0.81988354391862295</v>
      </c>
      <c r="H60" s="47">
        <f t="shared" si="35"/>
        <v>0.83817607849076825</v>
      </c>
      <c r="I60" s="47">
        <f t="shared" si="35"/>
        <v>0.85687674031897954</v>
      </c>
      <c r="J60" s="47">
        <f t="shared" si="35"/>
        <v>0.8759946351866289</v>
      </c>
      <c r="K60" s="47">
        <f t="shared" si="35"/>
        <v>0.89553907203747463</v>
      </c>
      <c r="L60" s="47">
        <f t="shared" si="35"/>
        <v>0.91551956750840024</v>
      </c>
      <c r="M60" s="47">
        <f t="shared" si="35"/>
        <v>0.93594585056328394</v>
      </c>
      <c r="N60" s="47">
        <f t="shared" si="35"/>
        <v>0.95682786723025592</v>
      </c>
      <c r="O60" s="47">
        <f t="shared" si="35"/>
        <v>0.97817578544464889</v>
      </c>
      <c r="P60" s="47">
        <f t="shared" si="35"/>
        <v>1</v>
      </c>
      <c r="Q60" s="47">
        <f t="shared" si="35"/>
        <v>1.0223111376095151</v>
      </c>
      <c r="R60" s="47">
        <f t="shared" si="35"/>
        <v>1.0451200620804608</v>
      </c>
      <c r="S60" s="47">
        <f t="shared" si="35"/>
        <v>1.0684378796040028</v>
      </c>
      <c r="T60" s="47">
        <f t="shared" si="35"/>
        <v>1.0922759441630663</v>
      </c>
      <c r="U60" s="47">
        <f t="shared" si="35"/>
        <v>1.1166458630608516</v>
      </c>
      <c r="V60" s="47">
        <f t="shared" si="35"/>
        <v>1.1415595025726979</v>
      </c>
      <c r="W60" s="47">
        <f t="shared" si="35"/>
        <v>1.1670289937240468</v>
      </c>
      <c r="X60" s="47">
        <f t="shared" si="35"/>
        <v>1.1930667381973179</v>
      </c>
      <c r="Y60" s="47">
        <f t="shared" si="35"/>
        <v>1.2196854143705735</v>
      </c>
      <c r="Z60" s="47">
        <f t="shared" si="35"/>
        <v>1.2468979834909137</v>
      </c>
      <c r="AA60" s="47">
        <f t="shared" si="35"/>
        <v>1.2747176959856064</v>
      </c>
      <c r="AB60" s="47">
        <f t="shared" si="35"/>
        <v>1.3031580979140251</v>
      </c>
      <c r="AC60" s="47">
        <f t="shared" si="35"/>
        <v>1.3322330375635392</v>
      </c>
      <c r="AD60" s="47">
        <f t="shared" si="35"/>
        <v>1.3619566721925613</v>
      </c>
      <c r="AE60" s="47">
        <f t="shared" si="35"/>
        <v>1.3923434749240466</v>
      </c>
      <c r="AF60" s="47">
        <f t="shared" si="35"/>
        <v>1.4234082417927876</v>
      </c>
      <c r="AG60" s="47">
        <f t="shared" si="35"/>
        <v>1.4551660989499444</v>
      </c>
      <c r="AH60" s="47">
        <f t="shared" si="35"/>
        <v>1.4876325100283176</v>
      </c>
      <c r="AI60" s="47">
        <f t="shared" si="35"/>
        <v>1.5208232836719477</v>
      </c>
      <c r="AJ60" s="47">
        <f t="shared" si="35"/>
        <v>1.5547545812337071</v>
      </c>
      <c r="AK60" s="47">
        <f t="shared" si="35"/>
        <v>1.5894429246446367</v>
      </c>
      <c r="AL60" s="47">
        <f t="shared" si="35"/>
        <v>1.624905204458853</v>
      </c>
      <c r="AM60" s="47">
        <f t="shared" si="35"/>
        <v>1.6611586880779516</v>
      </c>
      <c r="AN60" s="47">
        <f t="shared" si="35"/>
        <v>1.6982210281589003</v>
      </c>
      <c r="AO60" s="47">
        <f t="shared" si="35"/>
        <v>1.7361102712095255</v>
      </c>
      <c r="AP60" s="47">
        <f t="shared" si="35"/>
        <v>1.7748448663757739</v>
      </c>
      <c r="AQ60" s="47">
        <f t="shared" si="35"/>
        <v>1.814443674425025</v>
      </c>
      <c r="AR60" s="47">
        <f t="shared" si="35"/>
        <v>1.8549259769298359</v>
      </c>
      <c r="AS60" s="47">
        <f t="shared" si="35"/>
        <v>1.8963114856565819</v>
      </c>
      <c r="AT60" s="47">
        <f t="shared" si="35"/>
        <v>1.9386203521635696</v>
      </c>
      <c r="AU60" s="47">
        <f t="shared" si="35"/>
        <v>1.9818731776132974</v>
      </c>
      <c r="AV60" s="47">
        <f t="shared" si="35"/>
        <v>2.0260910228036346</v>
      </c>
      <c r="AW60" s="47">
        <f t="shared" si="35"/>
        <v>2.0712954184228098</v>
      </c>
      <c r="AX60" s="47">
        <f t="shared" si="35"/>
        <v>2.1175083755331991</v>
      </c>
      <c r="AY60" s="47">
        <f t="shared" si="35"/>
        <v>2.1647523962890207</v>
      </c>
      <c r="AZ60" s="47">
        <f t="shared" si="35"/>
        <v>2.2130504848931527</v>
      </c>
      <c r="BA60" s="47">
        <f t="shared" si="35"/>
        <v>2.2624261587984082</v>
      </c>
      <c r="BB60" s="47">
        <f t="shared" si="35"/>
        <v>2.3129034601587257</v>
      </c>
      <c r="BC60" s="47">
        <f t="shared" si="35"/>
        <v>2.3645069675358505</v>
      </c>
      <c r="BD60" s="47">
        <f t="shared" si="35"/>
        <v>2.4172618078672001</v>
      </c>
      <c r="BE60" s="47">
        <f t="shared" si="35"/>
        <v>2.4711936687007503</v>
      </c>
      <c r="BF60" s="47">
        <f t="shared" si="35"/>
        <v>2.5263288107028949</v>
      </c>
      <c r="BG60" s="47">
        <f t="shared" si="35"/>
        <v>2.58269408044537</v>
      </c>
      <c r="BH60" s="47">
        <f t="shared" si="35"/>
        <v>2.6403169234774664</v>
      </c>
      <c r="BI60" s="47">
        <f t="shared" si="35"/>
        <v>2.6992253976899039</v>
      </c>
      <c r="BJ60" s="47">
        <f t="shared" si="35"/>
        <v>2.759448186976861</v>
      </c>
      <c r="BK60" s="47">
        <f t="shared" si="35"/>
        <v>2.8210146152028286</v>
      </c>
      <c r="BL60" s="47">
        <f t="shared" si="35"/>
        <v>2.8839546604810722</v>
      </c>
      <c r="BM60" s="47">
        <f t="shared" si="35"/>
        <v>2.9482989697706681</v>
      </c>
      <c r="BN60" s="47">
        <f t="shared" si="35"/>
        <v>3.0140788737992121</v>
      </c>
      <c r="BO60" s="47">
        <f t="shared" ref="BO60:BY63" si="36">(1+$F$44)^(BO$46-$B60)</f>
        <v>3.0813264023184788</v>
      </c>
      <c r="BP60" s="47">
        <f t="shared" si="36"/>
        <v>3.1500742997004383</v>
      </c>
      <c r="BQ60" s="47">
        <f t="shared" si="36"/>
        <v>3.2203560408812524</v>
      </c>
      <c r="BR60" s="47">
        <f t="shared" si="36"/>
        <v>3.2922058476609863</v>
      </c>
      <c r="BS60" s="47">
        <f t="shared" si="36"/>
        <v>3.3656587053670011</v>
      </c>
      <c r="BT60" s="47">
        <f t="shared" si="36"/>
        <v>3.4407503798891064</v>
      </c>
      <c r="BU60" s="47">
        <f t="shared" si="36"/>
        <v>3.5175174350948031</v>
      </c>
      <c r="BV60" s="47">
        <f t="shared" si="36"/>
        <v>3.5959972506330717</v>
      </c>
      <c r="BW60" s="47">
        <f t="shared" si="36"/>
        <v>3.676228040135384</v>
      </c>
      <c r="BX60" s="47">
        <f t="shared" si="36"/>
        <v>3.7582488698228023</v>
      </c>
      <c r="BY60" s="47">
        <f t="shared" si="36"/>
        <v>3.8420996775282239</v>
      </c>
    </row>
    <row r="61" spans="1:77" x14ac:dyDescent="0.25">
      <c r="A61" s="116"/>
      <c r="B61" s="46">
        <v>2000</v>
      </c>
      <c r="C61" s="47">
        <f t="shared" si="30"/>
        <v>0.73423774809967979</v>
      </c>
      <c r="D61" s="47">
        <f t="shared" ref="D61:BO64" si="37">(1+$F$44)^(D$46-$B61)</f>
        <v>0.75061942753563204</v>
      </c>
      <c r="E61" s="47">
        <f t="shared" si="37"/>
        <v>0.76736660087575514</v>
      </c>
      <c r="F61" s="47">
        <f t="shared" si="37"/>
        <v>0.78448742270483995</v>
      </c>
      <c r="G61" s="47">
        <f t="shared" si="37"/>
        <v>0.8019902295457414</v>
      </c>
      <c r="H61" s="47">
        <f t="shared" si="37"/>
        <v>0.81988354391862295</v>
      </c>
      <c r="I61" s="47">
        <f t="shared" si="37"/>
        <v>0.83817607849076825</v>
      </c>
      <c r="J61" s="47">
        <f t="shared" si="37"/>
        <v>0.85687674031897954</v>
      </c>
      <c r="K61" s="47">
        <f t="shared" si="37"/>
        <v>0.8759946351866289</v>
      </c>
      <c r="L61" s="47">
        <f t="shared" si="37"/>
        <v>0.89553907203747463</v>
      </c>
      <c r="M61" s="47">
        <f t="shared" si="37"/>
        <v>0.91551956750840024</v>
      </c>
      <c r="N61" s="47">
        <f t="shared" si="37"/>
        <v>0.93594585056328394</v>
      </c>
      <c r="O61" s="47">
        <f t="shared" si="37"/>
        <v>0.95682786723025592</v>
      </c>
      <c r="P61" s="47">
        <f t="shared" si="37"/>
        <v>0.97817578544464889</v>
      </c>
      <c r="Q61" s="47">
        <f t="shared" si="37"/>
        <v>1</v>
      </c>
      <c r="R61" s="47">
        <f t="shared" si="37"/>
        <v>1.0223111376095151</v>
      </c>
      <c r="S61" s="47">
        <f t="shared" si="37"/>
        <v>1.0451200620804608</v>
      </c>
      <c r="T61" s="47">
        <f t="shared" si="37"/>
        <v>1.0684378796040028</v>
      </c>
      <c r="U61" s="47">
        <f t="shared" si="37"/>
        <v>1.0922759441630663</v>
      </c>
      <c r="V61" s="47">
        <f t="shared" si="37"/>
        <v>1.1166458630608516</v>
      </c>
      <c r="W61" s="47">
        <f t="shared" si="37"/>
        <v>1.1415595025726979</v>
      </c>
      <c r="X61" s="47">
        <f t="shared" si="37"/>
        <v>1.1670289937240468</v>
      </c>
      <c r="Y61" s="47">
        <f t="shared" si="37"/>
        <v>1.1930667381973179</v>
      </c>
      <c r="Z61" s="47">
        <f t="shared" si="37"/>
        <v>1.2196854143705735</v>
      </c>
      <c r="AA61" s="47">
        <f t="shared" si="37"/>
        <v>1.2468979834909137</v>
      </c>
      <c r="AB61" s="47">
        <f t="shared" si="37"/>
        <v>1.2747176959856064</v>
      </c>
      <c r="AC61" s="47">
        <f t="shared" si="37"/>
        <v>1.3031580979140251</v>
      </c>
      <c r="AD61" s="47">
        <f t="shared" si="37"/>
        <v>1.3322330375635392</v>
      </c>
      <c r="AE61" s="47">
        <f t="shared" si="37"/>
        <v>1.3619566721925613</v>
      </c>
      <c r="AF61" s="47">
        <f t="shared" si="37"/>
        <v>1.3923434749240466</v>
      </c>
      <c r="AG61" s="47">
        <f t="shared" si="37"/>
        <v>1.4234082417927876</v>
      </c>
      <c r="AH61" s="47">
        <f t="shared" si="37"/>
        <v>1.4551660989499444</v>
      </c>
      <c r="AI61" s="47">
        <f t="shared" si="37"/>
        <v>1.4876325100283176</v>
      </c>
      <c r="AJ61" s="47">
        <f t="shared" si="37"/>
        <v>1.5208232836719477</v>
      </c>
      <c r="AK61" s="47">
        <f t="shared" si="37"/>
        <v>1.5547545812337071</v>
      </c>
      <c r="AL61" s="47">
        <f t="shared" si="37"/>
        <v>1.5894429246446367</v>
      </c>
      <c r="AM61" s="47">
        <f t="shared" si="37"/>
        <v>1.624905204458853</v>
      </c>
      <c r="AN61" s="47">
        <f t="shared" si="37"/>
        <v>1.6611586880779516</v>
      </c>
      <c r="AO61" s="47">
        <f t="shared" si="37"/>
        <v>1.6982210281589003</v>
      </c>
      <c r="AP61" s="47">
        <f t="shared" si="37"/>
        <v>1.7361102712095255</v>
      </c>
      <c r="AQ61" s="47">
        <f t="shared" si="37"/>
        <v>1.7748448663757739</v>
      </c>
      <c r="AR61" s="47">
        <f t="shared" si="37"/>
        <v>1.814443674425025</v>
      </c>
      <c r="AS61" s="47">
        <f t="shared" si="37"/>
        <v>1.8549259769298359</v>
      </c>
      <c r="AT61" s="47">
        <f t="shared" si="37"/>
        <v>1.8963114856565819</v>
      </c>
      <c r="AU61" s="47">
        <f t="shared" si="37"/>
        <v>1.9386203521635696</v>
      </c>
      <c r="AV61" s="47">
        <f t="shared" si="37"/>
        <v>1.9818731776132974</v>
      </c>
      <c r="AW61" s="47">
        <f t="shared" si="37"/>
        <v>2.0260910228036346</v>
      </c>
      <c r="AX61" s="47">
        <f t="shared" si="37"/>
        <v>2.0712954184228098</v>
      </c>
      <c r="AY61" s="47">
        <f t="shared" si="37"/>
        <v>2.1175083755331991</v>
      </c>
      <c r="AZ61" s="47">
        <f t="shared" si="37"/>
        <v>2.1647523962890207</v>
      </c>
      <c r="BA61" s="47">
        <f t="shared" si="37"/>
        <v>2.2130504848931527</v>
      </c>
      <c r="BB61" s="47">
        <f t="shared" si="37"/>
        <v>2.2624261587984082</v>
      </c>
      <c r="BC61" s="47">
        <f t="shared" si="37"/>
        <v>2.3129034601587257</v>
      </c>
      <c r="BD61" s="47">
        <f t="shared" si="37"/>
        <v>2.3645069675358505</v>
      </c>
      <c r="BE61" s="47">
        <f t="shared" si="37"/>
        <v>2.4172618078672001</v>
      </c>
      <c r="BF61" s="47">
        <f t="shared" si="37"/>
        <v>2.4711936687007503</v>
      </c>
      <c r="BG61" s="47">
        <f t="shared" si="37"/>
        <v>2.5263288107028949</v>
      </c>
      <c r="BH61" s="47">
        <f t="shared" si="37"/>
        <v>2.58269408044537</v>
      </c>
      <c r="BI61" s="47">
        <f t="shared" si="37"/>
        <v>2.6403169234774664</v>
      </c>
      <c r="BJ61" s="47">
        <f t="shared" si="37"/>
        <v>2.6992253976899039</v>
      </c>
      <c r="BK61" s="47">
        <f t="shared" si="37"/>
        <v>2.759448186976861</v>
      </c>
      <c r="BL61" s="47">
        <f t="shared" si="37"/>
        <v>2.8210146152028286</v>
      </c>
      <c r="BM61" s="47">
        <f t="shared" si="37"/>
        <v>2.8839546604810722</v>
      </c>
      <c r="BN61" s="47">
        <f t="shared" si="37"/>
        <v>2.9482989697706681</v>
      </c>
      <c r="BO61" s="47">
        <f t="shared" si="37"/>
        <v>3.0140788737992121</v>
      </c>
      <c r="BP61" s="47">
        <f t="shared" si="36"/>
        <v>3.0813264023184788</v>
      </c>
      <c r="BQ61" s="47">
        <f t="shared" si="36"/>
        <v>3.1500742997004383</v>
      </c>
      <c r="BR61" s="47">
        <f t="shared" si="36"/>
        <v>3.2203560408812524</v>
      </c>
      <c r="BS61" s="47">
        <f t="shared" si="36"/>
        <v>3.2922058476609863</v>
      </c>
      <c r="BT61" s="47">
        <f t="shared" si="36"/>
        <v>3.3656587053670011</v>
      </c>
      <c r="BU61" s="47">
        <f t="shared" si="36"/>
        <v>3.4407503798891064</v>
      </c>
      <c r="BV61" s="47">
        <f t="shared" si="36"/>
        <v>3.5175174350948031</v>
      </c>
      <c r="BW61" s="47">
        <f t="shared" si="36"/>
        <v>3.5959972506330717</v>
      </c>
      <c r="BX61" s="47">
        <f t="shared" si="36"/>
        <v>3.676228040135384</v>
      </c>
      <c r="BY61" s="47">
        <f t="shared" si="36"/>
        <v>3.7582488698228023</v>
      </c>
    </row>
    <row r="62" spans="1:77" x14ac:dyDescent="0.25">
      <c r="A62" s="116"/>
      <c r="B62" s="46">
        <v>2001</v>
      </c>
      <c r="C62" s="47">
        <f t="shared" si="30"/>
        <v>0.71821358595051465</v>
      </c>
      <c r="D62" s="47">
        <f t="shared" si="37"/>
        <v>0.73423774809967979</v>
      </c>
      <c r="E62" s="47">
        <f t="shared" si="37"/>
        <v>0.75061942753563204</v>
      </c>
      <c r="F62" s="47">
        <f t="shared" si="37"/>
        <v>0.76736660087575514</v>
      </c>
      <c r="G62" s="47">
        <f t="shared" si="37"/>
        <v>0.78448742270483995</v>
      </c>
      <c r="H62" s="47">
        <f t="shared" si="37"/>
        <v>0.8019902295457414</v>
      </c>
      <c r="I62" s="47">
        <f t="shared" si="37"/>
        <v>0.81988354391862295</v>
      </c>
      <c r="J62" s="47">
        <f t="shared" si="37"/>
        <v>0.83817607849076825</v>
      </c>
      <c r="K62" s="47">
        <f t="shared" si="37"/>
        <v>0.85687674031897954</v>
      </c>
      <c r="L62" s="47">
        <f t="shared" si="37"/>
        <v>0.8759946351866289</v>
      </c>
      <c r="M62" s="47">
        <f t="shared" si="37"/>
        <v>0.89553907203747463</v>
      </c>
      <c r="N62" s="47">
        <f t="shared" si="37"/>
        <v>0.91551956750840024</v>
      </c>
      <c r="O62" s="47">
        <f t="shared" si="37"/>
        <v>0.93594585056328394</v>
      </c>
      <c r="P62" s="47">
        <f t="shared" si="37"/>
        <v>0.95682786723025592</v>
      </c>
      <c r="Q62" s="47">
        <f t="shared" si="37"/>
        <v>0.97817578544464889</v>
      </c>
      <c r="R62" s="47">
        <f t="shared" si="37"/>
        <v>1</v>
      </c>
      <c r="S62" s="47">
        <f t="shared" si="37"/>
        <v>1.0223111376095151</v>
      </c>
      <c r="T62" s="47">
        <f t="shared" si="37"/>
        <v>1.0451200620804608</v>
      </c>
      <c r="U62" s="47">
        <f t="shared" si="37"/>
        <v>1.0684378796040028</v>
      </c>
      <c r="V62" s="47">
        <f t="shared" si="37"/>
        <v>1.0922759441630663</v>
      </c>
      <c r="W62" s="47">
        <f t="shared" si="37"/>
        <v>1.1166458630608516</v>
      </c>
      <c r="X62" s="47">
        <f t="shared" si="37"/>
        <v>1.1415595025726979</v>
      </c>
      <c r="Y62" s="47">
        <f t="shared" si="37"/>
        <v>1.1670289937240468</v>
      </c>
      <c r="Z62" s="47">
        <f t="shared" si="37"/>
        <v>1.1930667381973179</v>
      </c>
      <c r="AA62" s="47">
        <f t="shared" si="37"/>
        <v>1.2196854143705735</v>
      </c>
      <c r="AB62" s="47">
        <f t="shared" si="37"/>
        <v>1.2468979834909137</v>
      </c>
      <c r="AC62" s="47">
        <f t="shared" si="37"/>
        <v>1.2747176959856064</v>
      </c>
      <c r="AD62" s="47">
        <f t="shared" si="37"/>
        <v>1.3031580979140251</v>
      </c>
      <c r="AE62" s="47">
        <f t="shared" si="37"/>
        <v>1.3322330375635392</v>
      </c>
      <c r="AF62" s="47">
        <f t="shared" si="37"/>
        <v>1.3619566721925613</v>
      </c>
      <c r="AG62" s="47">
        <f t="shared" si="37"/>
        <v>1.3923434749240466</v>
      </c>
      <c r="AH62" s="47">
        <f t="shared" si="37"/>
        <v>1.4234082417927876</v>
      </c>
      <c r="AI62" s="47">
        <f t="shared" si="37"/>
        <v>1.4551660989499444</v>
      </c>
      <c r="AJ62" s="47">
        <f t="shared" si="37"/>
        <v>1.4876325100283176</v>
      </c>
      <c r="AK62" s="47">
        <f t="shared" si="37"/>
        <v>1.5208232836719477</v>
      </c>
      <c r="AL62" s="47">
        <f t="shared" si="37"/>
        <v>1.5547545812337071</v>
      </c>
      <c r="AM62" s="47">
        <f t="shared" si="37"/>
        <v>1.5894429246446367</v>
      </c>
      <c r="AN62" s="47">
        <f t="shared" si="37"/>
        <v>1.624905204458853</v>
      </c>
      <c r="AO62" s="47">
        <f t="shared" si="37"/>
        <v>1.6611586880779516</v>
      </c>
      <c r="AP62" s="47">
        <f t="shared" si="37"/>
        <v>1.6982210281589003</v>
      </c>
      <c r="AQ62" s="47">
        <f t="shared" si="37"/>
        <v>1.7361102712095255</v>
      </c>
      <c r="AR62" s="47">
        <f t="shared" si="37"/>
        <v>1.7748448663757739</v>
      </c>
      <c r="AS62" s="47">
        <f t="shared" si="37"/>
        <v>1.814443674425025</v>
      </c>
      <c r="AT62" s="47">
        <f t="shared" si="37"/>
        <v>1.8549259769298359</v>
      </c>
      <c r="AU62" s="47">
        <f t="shared" si="37"/>
        <v>1.8963114856565819</v>
      </c>
      <c r="AV62" s="47">
        <f t="shared" si="37"/>
        <v>1.9386203521635696</v>
      </c>
      <c r="AW62" s="47">
        <f t="shared" si="37"/>
        <v>1.9818731776132974</v>
      </c>
      <c r="AX62" s="47">
        <f t="shared" si="37"/>
        <v>2.0260910228036346</v>
      </c>
      <c r="AY62" s="47">
        <f t="shared" si="37"/>
        <v>2.0712954184228098</v>
      </c>
      <c r="AZ62" s="47">
        <f t="shared" si="37"/>
        <v>2.1175083755331991</v>
      </c>
      <c r="BA62" s="47">
        <f t="shared" si="37"/>
        <v>2.1647523962890207</v>
      </c>
      <c r="BB62" s="47">
        <f t="shared" si="37"/>
        <v>2.2130504848931527</v>
      </c>
      <c r="BC62" s="47">
        <f t="shared" si="37"/>
        <v>2.2624261587984082</v>
      </c>
      <c r="BD62" s="47">
        <f t="shared" si="37"/>
        <v>2.3129034601587257</v>
      </c>
      <c r="BE62" s="47">
        <f t="shared" si="37"/>
        <v>2.3645069675358505</v>
      </c>
      <c r="BF62" s="47">
        <f t="shared" si="37"/>
        <v>2.4172618078672001</v>
      </c>
      <c r="BG62" s="47">
        <f t="shared" si="37"/>
        <v>2.4711936687007503</v>
      </c>
      <c r="BH62" s="47">
        <f t="shared" si="37"/>
        <v>2.5263288107028949</v>
      </c>
      <c r="BI62" s="47">
        <f t="shared" si="37"/>
        <v>2.58269408044537</v>
      </c>
      <c r="BJ62" s="47">
        <f t="shared" si="37"/>
        <v>2.6403169234774664</v>
      </c>
      <c r="BK62" s="47">
        <f t="shared" si="37"/>
        <v>2.6992253976899039</v>
      </c>
      <c r="BL62" s="47">
        <f t="shared" si="37"/>
        <v>2.759448186976861</v>
      </c>
      <c r="BM62" s="47">
        <f t="shared" si="37"/>
        <v>2.8210146152028286</v>
      </c>
      <c r="BN62" s="47">
        <f t="shared" si="37"/>
        <v>2.8839546604810722</v>
      </c>
      <c r="BO62" s="47">
        <f t="shared" si="37"/>
        <v>2.9482989697706681</v>
      </c>
      <c r="BP62" s="47">
        <f t="shared" si="36"/>
        <v>3.0140788737992121</v>
      </c>
      <c r="BQ62" s="47">
        <f t="shared" si="36"/>
        <v>3.0813264023184788</v>
      </c>
      <c r="BR62" s="47">
        <f t="shared" si="36"/>
        <v>3.1500742997004383</v>
      </c>
      <c r="BS62" s="47">
        <f t="shared" si="36"/>
        <v>3.2203560408812524</v>
      </c>
      <c r="BT62" s="47">
        <f t="shared" si="36"/>
        <v>3.2922058476609863</v>
      </c>
      <c r="BU62" s="47">
        <f t="shared" si="36"/>
        <v>3.3656587053670011</v>
      </c>
      <c r="BV62" s="47">
        <f t="shared" si="36"/>
        <v>3.4407503798891064</v>
      </c>
      <c r="BW62" s="47">
        <f t="shared" si="36"/>
        <v>3.5175174350948031</v>
      </c>
      <c r="BX62" s="47">
        <f t="shared" si="36"/>
        <v>3.5959972506330717</v>
      </c>
      <c r="BY62" s="47">
        <f t="shared" si="36"/>
        <v>3.676228040135384</v>
      </c>
    </row>
    <row r="63" spans="1:77" x14ac:dyDescent="0.25">
      <c r="A63" s="116"/>
      <c r="B63" s="46">
        <v>2002</v>
      </c>
      <c r="C63" s="47">
        <f t="shared" si="30"/>
        <v>0.7025391385541625</v>
      </c>
      <c r="D63" s="47">
        <f t="shared" si="37"/>
        <v>0.71821358595051465</v>
      </c>
      <c r="E63" s="47">
        <f t="shared" si="37"/>
        <v>0.73423774809967979</v>
      </c>
      <c r="F63" s="47">
        <f t="shared" si="37"/>
        <v>0.75061942753563204</v>
      </c>
      <c r="G63" s="47">
        <f t="shared" si="37"/>
        <v>0.76736660087575514</v>
      </c>
      <c r="H63" s="47">
        <f t="shared" si="37"/>
        <v>0.78448742270483995</v>
      </c>
      <c r="I63" s="47">
        <f t="shared" si="37"/>
        <v>0.8019902295457414</v>
      </c>
      <c r="J63" s="47">
        <f t="shared" si="37"/>
        <v>0.81988354391862295</v>
      </c>
      <c r="K63" s="47">
        <f t="shared" si="37"/>
        <v>0.83817607849076825</v>
      </c>
      <c r="L63" s="47">
        <f t="shared" si="37"/>
        <v>0.85687674031897954</v>
      </c>
      <c r="M63" s="47">
        <f t="shared" si="37"/>
        <v>0.8759946351866289</v>
      </c>
      <c r="N63" s="47">
        <f t="shared" si="37"/>
        <v>0.89553907203747463</v>
      </c>
      <c r="O63" s="47">
        <f t="shared" si="37"/>
        <v>0.91551956750840024</v>
      </c>
      <c r="P63" s="47">
        <f t="shared" si="37"/>
        <v>0.93594585056328394</v>
      </c>
      <c r="Q63" s="47">
        <f t="shared" si="37"/>
        <v>0.95682786723025592</v>
      </c>
      <c r="R63" s="47">
        <f t="shared" si="37"/>
        <v>0.97817578544464889</v>
      </c>
      <c r="S63" s="47">
        <f t="shared" si="37"/>
        <v>1</v>
      </c>
      <c r="T63" s="47">
        <f t="shared" si="37"/>
        <v>1.0223111376095151</v>
      </c>
      <c r="U63" s="47">
        <f t="shared" si="37"/>
        <v>1.0451200620804608</v>
      </c>
      <c r="V63" s="47">
        <f t="shared" si="37"/>
        <v>1.0684378796040028</v>
      </c>
      <c r="W63" s="47">
        <f t="shared" si="37"/>
        <v>1.0922759441630663</v>
      </c>
      <c r="X63" s="47">
        <f t="shared" si="37"/>
        <v>1.1166458630608516</v>
      </c>
      <c r="Y63" s="47">
        <f t="shared" si="37"/>
        <v>1.1415595025726979</v>
      </c>
      <c r="Z63" s="47">
        <f t="shared" si="37"/>
        <v>1.1670289937240468</v>
      </c>
      <c r="AA63" s="47">
        <f t="shared" si="37"/>
        <v>1.1930667381973179</v>
      </c>
      <c r="AB63" s="47">
        <f t="shared" si="37"/>
        <v>1.2196854143705735</v>
      </c>
      <c r="AC63" s="47">
        <f t="shared" si="37"/>
        <v>1.2468979834909137</v>
      </c>
      <c r="AD63" s="47">
        <f t="shared" si="37"/>
        <v>1.2747176959856064</v>
      </c>
      <c r="AE63" s="47">
        <f t="shared" si="37"/>
        <v>1.3031580979140251</v>
      </c>
      <c r="AF63" s="47">
        <f t="shared" si="37"/>
        <v>1.3322330375635392</v>
      </c>
      <c r="AG63" s="47">
        <f t="shared" si="37"/>
        <v>1.3619566721925613</v>
      </c>
      <c r="AH63" s="47">
        <f t="shared" si="37"/>
        <v>1.3923434749240466</v>
      </c>
      <c r="AI63" s="47">
        <f t="shared" si="37"/>
        <v>1.4234082417927876</v>
      </c>
      <c r="AJ63" s="47">
        <f t="shared" si="37"/>
        <v>1.4551660989499444</v>
      </c>
      <c r="AK63" s="47">
        <f t="shared" si="37"/>
        <v>1.4876325100283176</v>
      </c>
      <c r="AL63" s="47">
        <f t="shared" si="37"/>
        <v>1.5208232836719477</v>
      </c>
      <c r="AM63" s="47">
        <f t="shared" si="37"/>
        <v>1.5547545812337071</v>
      </c>
      <c r="AN63" s="47">
        <f t="shared" si="37"/>
        <v>1.5894429246446367</v>
      </c>
      <c r="AO63" s="47">
        <f t="shared" si="37"/>
        <v>1.624905204458853</v>
      </c>
      <c r="AP63" s="47">
        <f t="shared" si="37"/>
        <v>1.6611586880779516</v>
      </c>
      <c r="AQ63" s="47">
        <f t="shared" si="37"/>
        <v>1.6982210281589003</v>
      </c>
      <c r="AR63" s="47">
        <f t="shared" si="37"/>
        <v>1.7361102712095255</v>
      </c>
      <c r="AS63" s="47">
        <f t="shared" si="37"/>
        <v>1.7748448663757739</v>
      </c>
      <c r="AT63" s="47">
        <f t="shared" si="37"/>
        <v>1.814443674425025</v>
      </c>
      <c r="AU63" s="47">
        <f t="shared" si="37"/>
        <v>1.8549259769298359</v>
      </c>
      <c r="AV63" s="47">
        <f t="shared" si="37"/>
        <v>1.8963114856565819</v>
      </c>
      <c r="AW63" s="47">
        <f t="shared" si="37"/>
        <v>1.9386203521635696</v>
      </c>
      <c r="AX63" s="47">
        <f t="shared" si="37"/>
        <v>1.9818731776132974</v>
      </c>
      <c r="AY63" s="47">
        <f t="shared" si="37"/>
        <v>2.0260910228036346</v>
      </c>
      <c r="AZ63" s="47">
        <f t="shared" si="37"/>
        <v>2.0712954184228098</v>
      </c>
      <c r="BA63" s="47">
        <f t="shared" si="37"/>
        <v>2.1175083755331991</v>
      </c>
      <c r="BB63" s="47">
        <f t="shared" si="37"/>
        <v>2.1647523962890207</v>
      </c>
      <c r="BC63" s="47">
        <f t="shared" si="37"/>
        <v>2.2130504848931527</v>
      </c>
      <c r="BD63" s="47">
        <f t="shared" si="37"/>
        <v>2.2624261587984082</v>
      </c>
      <c r="BE63" s="47">
        <f t="shared" si="37"/>
        <v>2.3129034601587257</v>
      </c>
      <c r="BF63" s="47">
        <f t="shared" si="37"/>
        <v>2.3645069675358505</v>
      </c>
      <c r="BG63" s="47">
        <f t="shared" si="37"/>
        <v>2.4172618078672001</v>
      </c>
      <c r="BH63" s="47">
        <f t="shared" si="37"/>
        <v>2.4711936687007503</v>
      </c>
      <c r="BI63" s="47">
        <f t="shared" si="37"/>
        <v>2.5263288107028949</v>
      </c>
      <c r="BJ63" s="47">
        <f t="shared" si="37"/>
        <v>2.58269408044537</v>
      </c>
      <c r="BK63" s="47">
        <f t="shared" si="37"/>
        <v>2.6403169234774664</v>
      </c>
      <c r="BL63" s="47">
        <f t="shared" si="37"/>
        <v>2.6992253976899039</v>
      </c>
      <c r="BM63" s="47">
        <f t="shared" si="37"/>
        <v>2.759448186976861</v>
      </c>
      <c r="BN63" s="47">
        <f t="shared" si="37"/>
        <v>2.8210146152028286</v>
      </c>
      <c r="BO63" s="47">
        <f t="shared" si="37"/>
        <v>2.8839546604810722</v>
      </c>
      <c r="BP63" s="47">
        <f t="shared" si="36"/>
        <v>2.9482989697706681</v>
      </c>
      <c r="BQ63" s="47">
        <f t="shared" si="36"/>
        <v>3.0140788737992121</v>
      </c>
      <c r="BR63" s="47">
        <f t="shared" si="36"/>
        <v>3.0813264023184788</v>
      </c>
      <c r="BS63" s="47">
        <f t="shared" si="36"/>
        <v>3.1500742997004383</v>
      </c>
      <c r="BT63" s="47">
        <f t="shared" si="36"/>
        <v>3.2203560408812524</v>
      </c>
      <c r="BU63" s="47">
        <f t="shared" si="36"/>
        <v>3.2922058476609863</v>
      </c>
      <c r="BV63" s="47">
        <f t="shared" si="36"/>
        <v>3.3656587053670011</v>
      </c>
      <c r="BW63" s="47">
        <f t="shared" si="36"/>
        <v>3.4407503798891064</v>
      </c>
      <c r="BX63" s="47">
        <f t="shared" si="36"/>
        <v>3.5175174350948031</v>
      </c>
      <c r="BY63" s="47">
        <f t="shared" si="36"/>
        <v>3.5959972506330717</v>
      </c>
    </row>
    <row r="64" spans="1:77" x14ac:dyDescent="0.25">
      <c r="A64" s="116"/>
      <c r="B64" s="46">
        <v>2003</v>
      </c>
      <c r="C64" s="47">
        <f t="shared" si="30"/>
        <v>0.68720677366082494</v>
      </c>
      <c r="D64" s="47">
        <f t="shared" si="37"/>
        <v>0.7025391385541625</v>
      </c>
      <c r="E64" s="47">
        <f t="shared" si="37"/>
        <v>0.71821358595051465</v>
      </c>
      <c r="F64" s="47">
        <f t="shared" si="37"/>
        <v>0.73423774809967979</v>
      </c>
      <c r="G64" s="47">
        <f t="shared" si="37"/>
        <v>0.75061942753563204</v>
      </c>
      <c r="H64" s="47">
        <f t="shared" si="37"/>
        <v>0.76736660087575514</v>
      </c>
      <c r="I64" s="47">
        <f t="shared" si="37"/>
        <v>0.78448742270483995</v>
      </c>
      <c r="J64" s="47">
        <f t="shared" si="37"/>
        <v>0.8019902295457414</v>
      </c>
      <c r="K64" s="47">
        <f t="shared" si="37"/>
        <v>0.81988354391862295</v>
      </c>
      <c r="L64" s="47">
        <f t="shared" si="37"/>
        <v>0.83817607849076825</v>
      </c>
      <c r="M64" s="47">
        <f t="shared" si="37"/>
        <v>0.85687674031897954</v>
      </c>
      <c r="N64" s="47">
        <f t="shared" si="37"/>
        <v>0.8759946351866289</v>
      </c>
      <c r="O64" s="47">
        <f t="shared" si="37"/>
        <v>0.89553907203747463</v>
      </c>
      <c r="P64" s="47">
        <f t="shared" si="37"/>
        <v>0.91551956750840024</v>
      </c>
      <c r="Q64" s="47">
        <f t="shared" si="37"/>
        <v>0.93594585056328394</v>
      </c>
      <c r="R64" s="47">
        <f t="shared" si="37"/>
        <v>0.95682786723025592</v>
      </c>
      <c r="S64" s="47">
        <f t="shared" si="37"/>
        <v>0.97817578544464889</v>
      </c>
      <c r="T64" s="47">
        <f t="shared" si="37"/>
        <v>1</v>
      </c>
      <c r="U64" s="47">
        <f t="shared" si="37"/>
        <v>1.0223111376095151</v>
      </c>
      <c r="V64" s="47">
        <f t="shared" si="37"/>
        <v>1.0451200620804608</v>
      </c>
      <c r="W64" s="47">
        <f t="shared" si="37"/>
        <v>1.0684378796040028</v>
      </c>
      <c r="X64" s="47">
        <f t="shared" si="37"/>
        <v>1.0922759441630663</v>
      </c>
      <c r="Y64" s="47">
        <f t="shared" si="37"/>
        <v>1.1166458630608516</v>
      </c>
      <c r="Z64" s="47">
        <f t="shared" si="37"/>
        <v>1.1415595025726979</v>
      </c>
      <c r="AA64" s="47">
        <f t="shared" si="37"/>
        <v>1.1670289937240468</v>
      </c>
      <c r="AB64" s="47">
        <f t="shared" si="37"/>
        <v>1.1930667381973179</v>
      </c>
      <c r="AC64" s="47">
        <f t="shared" si="37"/>
        <v>1.2196854143705735</v>
      </c>
      <c r="AD64" s="47">
        <f t="shared" si="37"/>
        <v>1.2468979834909137</v>
      </c>
      <c r="AE64" s="47">
        <f t="shared" si="37"/>
        <v>1.2747176959856064</v>
      </c>
      <c r="AF64" s="47">
        <f t="shared" si="37"/>
        <v>1.3031580979140251</v>
      </c>
      <c r="AG64" s="47">
        <f t="shared" si="37"/>
        <v>1.3322330375635392</v>
      </c>
      <c r="AH64" s="47">
        <f t="shared" si="37"/>
        <v>1.3619566721925613</v>
      </c>
      <c r="AI64" s="47">
        <f t="shared" si="37"/>
        <v>1.3923434749240466</v>
      </c>
      <c r="AJ64" s="47">
        <f t="shared" si="37"/>
        <v>1.4234082417927876</v>
      </c>
      <c r="AK64" s="47">
        <f t="shared" si="37"/>
        <v>1.4551660989499444</v>
      </c>
      <c r="AL64" s="47">
        <f t="shared" si="37"/>
        <v>1.4876325100283176</v>
      </c>
      <c r="AM64" s="47">
        <f t="shared" si="37"/>
        <v>1.5208232836719477</v>
      </c>
      <c r="AN64" s="47">
        <f t="shared" si="37"/>
        <v>1.5547545812337071</v>
      </c>
      <c r="AO64" s="47">
        <f t="shared" si="37"/>
        <v>1.5894429246446367</v>
      </c>
      <c r="AP64" s="47">
        <f t="shared" si="37"/>
        <v>1.624905204458853</v>
      </c>
      <c r="AQ64" s="47">
        <f t="shared" si="37"/>
        <v>1.6611586880779516</v>
      </c>
      <c r="AR64" s="47">
        <f t="shared" si="37"/>
        <v>1.6982210281589003</v>
      </c>
      <c r="AS64" s="47">
        <f t="shared" si="37"/>
        <v>1.7361102712095255</v>
      </c>
      <c r="AT64" s="47">
        <f t="shared" si="37"/>
        <v>1.7748448663757739</v>
      </c>
      <c r="AU64" s="47">
        <f t="shared" si="37"/>
        <v>1.814443674425025</v>
      </c>
      <c r="AV64" s="47">
        <f t="shared" si="37"/>
        <v>1.8549259769298359</v>
      </c>
      <c r="AW64" s="47">
        <f t="shared" si="37"/>
        <v>1.8963114856565819</v>
      </c>
      <c r="AX64" s="47">
        <f t="shared" si="37"/>
        <v>1.9386203521635696</v>
      </c>
      <c r="AY64" s="47">
        <f t="shared" si="37"/>
        <v>1.9818731776132974</v>
      </c>
      <c r="AZ64" s="47">
        <f t="shared" si="37"/>
        <v>2.0260910228036346</v>
      </c>
      <c r="BA64" s="47">
        <f t="shared" si="37"/>
        <v>2.0712954184228098</v>
      </c>
      <c r="BB64" s="47">
        <f t="shared" si="37"/>
        <v>2.1175083755331991</v>
      </c>
      <c r="BC64" s="47">
        <f t="shared" si="37"/>
        <v>2.1647523962890207</v>
      </c>
      <c r="BD64" s="47">
        <f t="shared" si="37"/>
        <v>2.2130504848931527</v>
      </c>
      <c r="BE64" s="47">
        <f t="shared" si="37"/>
        <v>2.2624261587984082</v>
      </c>
      <c r="BF64" s="47">
        <f t="shared" si="37"/>
        <v>2.3129034601587257</v>
      </c>
      <c r="BG64" s="47">
        <f t="shared" si="37"/>
        <v>2.3645069675358505</v>
      </c>
      <c r="BH64" s="47">
        <f t="shared" si="37"/>
        <v>2.4172618078672001</v>
      </c>
      <c r="BI64" s="47">
        <f t="shared" si="37"/>
        <v>2.4711936687007503</v>
      </c>
      <c r="BJ64" s="47">
        <f t="shared" si="37"/>
        <v>2.5263288107028949</v>
      </c>
      <c r="BK64" s="47">
        <f t="shared" si="37"/>
        <v>2.58269408044537</v>
      </c>
      <c r="BL64" s="47">
        <f t="shared" si="37"/>
        <v>2.6403169234774664</v>
      </c>
      <c r="BM64" s="47">
        <f t="shared" si="37"/>
        <v>2.6992253976899039</v>
      </c>
      <c r="BN64" s="47">
        <f t="shared" si="37"/>
        <v>2.759448186976861</v>
      </c>
      <c r="BO64" s="47">
        <f t="shared" ref="BO64:BY67" si="38">(1+$F$44)^(BO$46-$B64)</f>
        <v>2.8210146152028286</v>
      </c>
      <c r="BP64" s="47">
        <f t="shared" si="38"/>
        <v>2.8839546604810722</v>
      </c>
      <c r="BQ64" s="47">
        <f t="shared" si="38"/>
        <v>2.9482989697706681</v>
      </c>
      <c r="BR64" s="47">
        <f t="shared" si="38"/>
        <v>3.0140788737992121</v>
      </c>
      <c r="BS64" s="47">
        <f t="shared" si="38"/>
        <v>3.0813264023184788</v>
      </c>
      <c r="BT64" s="47">
        <f t="shared" si="38"/>
        <v>3.1500742997004383</v>
      </c>
      <c r="BU64" s="47">
        <f t="shared" si="38"/>
        <v>3.2203560408812524</v>
      </c>
      <c r="BV64" s="47">
        <f t="shared" si="38"/>
        <v>3.2922058476609863</v>
      </c>
      <c r="BW64" s="47">
        <f t="shared" si="38"/>
        <v>3.3656587053670011</v>
      </c>
      <c r="BX64" s="47">
        <f t="shared" si="38"/>
        <v>3.4407503798891064</v>
      </c>
      <c r="BY64" s="47">
        <f t="shared" si="38"/>
        <v>3.5175174350948031</v>
      </c>
    </row>
    <row r="65" spans="1:77" x14ac:dyDescent="0.25">
      <c r="A65" s="116"/>
      <c r="B65" s="46">
        <v>2004</v>
      </c>
      <c r="C65" s="47">
        <f t="shared" si="30"/>
        <v>0.67220902558856055</v>
      </c>
      <c r="D65" s="47">
        <f t="shared" ref="D65:BO68" si="39">(1+$F$44)^(D$46-$B65)</f>
        <v>0.68720677366082494</v>
      </c>
      <c r="E65" s="47">
        <f t="shared" si="39"/>
        <v>0.7025391385541625</v>
      </c>
      <c r="F65" s="47">
        <f t="shared" si="39"/>
        <v>0.71821358595051465</v>
      </c>
      <c r="G65" s="47">
        <f t="shared" si="39"/>
        <v>0.73423774809967979</v>
      </c>
      <c r="H65" s="47">
        <f t="shared" si="39"/>
        <v>0.75061942753563204</v>
      </c>
      <c r="I65" s="47">
        <f t="shared" si="39"/>
        <v>0.76736660087575514</v>
      </c>
      <c r="J65" s="47">
        <f t="shared" si="39"/>
        <v>0.78448742270483995</v>
      </c>
      <c r="K65" s="47">
        <f t="shared" si="39"/>
        <v>0.8019902295457414</v>
      </c>
      <c r="L65" s="47">
        <f t="shared" si="39"/>
        <v>0.81988354391862295</v>
      </c>
      <c r="M65" s="47">
        <f t="shared" si="39"/>
        <v>0.83817607849076825</v>
      </c>
      <c r="N65" s="47">
        <f t="shared" si="39"/>
        <v>0.85687674031897954</v>
      </c>
      <c r="O65" s="47">
        <f t="shared" si="39"/>
        <v>0.8759946351866289</v>
      </c>
      <c r="P65" s="47">
        <f t="shared" si="39"/>
        <v>0.89553907203747463</v>
      </c>
      <c r="Q65" s="47">
        <f t="shared" si="39"/>
        <v>0.91551956750840024</v>
      </c>
      <c r="R65" s="47">
        <f t="shared" si="39"/>
        <v>0.93594585056328394</v>
      </c>
      <c r="S65" s="47">
        <f t="shared" si="39"/>
        <v>0.95682786723025592</v>
      </c>
      <c r="T65" s="47">
        <f t="shared" si="39"/>
        <v>0.97817578544464889</v>
      </c>
      <c r="U65" s="47">
        <f t="shared" si="39"/>
        <v>1</v>
      </c>
      <c r="V65" s="47">
        <f t="shared" si="39"/>
        <v>1.0223111376095151</v>
      </c>
      <c r="W65" s="47">
        <f t="shared" si="39"/>
        <v>1.0451200620804608</v>
      </c>
      <c r="X65" s="47">
        <f t="shared" si="39"/>
        <v>1.0684378796040028</v>
      </c>
      <c r="Y65" s="47">
        <f t="shared" si="39"/>
        <v>1.0922759441630663</v>
      </c>
      <c r="Z65" s="47">
        <f t="shared" si="39"/>
        <v>1.1166458630608516</v>
      </c>
      <c r="AA65" s="47">
        <f t="shared" si="39"/>
        <v>1.1415595025726979</v>
      </c>
      <c r="AB65" s="47">
        <f t="shared" si="39"/>
        <v>1.1670289937240468</v>
      </c>
      <c r="AC65" s="47">
        <f t="shared" si="39"/>
        <v>1.1930667381973179</v>
      </c>
      <c r="AD65" s="47">
        <f t="shared" si="39"/>
        <v>1.2196854143705735</v>
      </c>
      <c r="AE65" s="47">
        <f t="shared" si="39"/>
        <v>1.2468979834909137</v>
      </c>
      <c r="AF65" s="47">
        <f t="shared" si="39"/>
        <v>1.2747176959856064</v>
      </c>
      <c r="AG65" s="47">
        <f t="shared" si="39"/>
        <v>1.3031580979140251</v>
      </c>
      <c r="AH65" s="47">
        <f t="shared" si="39"/>
        <v>1.3322330375635392</v>
      </c>
      <c r="AI65" s="47">
        <f t="shared" si="39"/>
        <v>1.3619566721925613</v>
      </c>
      <c r="AJ65" s="47">
        <f t="shared" si="39"/>
        <v>1.3923434749240466</v>
      </c>
      <c r="AK65" s="47">
        <f t="shared" si="39"/>
        <v>1.4234082417927876</v>
      </c>
      <c r="AL65" s="47">
        <f t="shared" si="39"/>
        <v>1.4551660989499444</v>
      </c>
      <c r="AM65" s="47">
        <f t="shared" si="39"/>
        <v>1.4876325100283176</v>
      </c>
      <c r="AN65" s="47">
        <f t="shared" si="39"/>
        <v>1.5208232836719477</v>
      </c>
      <c r="AO65" s="47">
        <f t="shared" si="39"/>
        <v>1.5547545812337071</v>
      </c>
      <c r="AP65" s="47">
        <f t="shared" si="39"/>
        <v>1.5894429246446367</v>
      </c>
      <c r="AQ65" s="47">
        <f t="shared" si="39"/>
        <v>1.624905204458853</v>
      </c>
      <c r="AR65" s="47">
        <f t="shared" si="39"/>
        <v>1.6611586880779516</v>
      </c>
      <c r="AS65" s="47">
        <f t="shared" si="39"/>
        <v>1.6982210281589003</v>
      </c>
      <c r="AT65" s="47">
        <f t="shared" si="39"/>
        <v>1.7361102712095255</v>
      </c>
      <c r="AU65" s="47">
        <f t="shared" si="39"/>
        <v>1.7748448663757739</v>
      </c>
      <c r="AV65" s="47">
        <f t="shared" si="39"/>
        <v>1.814443674425025</v>
      </c>
      <c r="AW65" s="47">
        <f t="shared" si="39"/>
        <v>1.8549259769298359</v>
      </c>
      <c r="AX65" s="47">
        <f t="shared" si="39"/>
        <v>1.8963114856565819</v>
      </c>
      <c r="AY65" s="47">
        <f t="shared" si="39"/>
        <v>1.9386203521635696</v>
      </c>
      <c r="AZ65" s="47">
        <f t="shared" si="39"/>
        <v>1.9818731776132974</v>
      </c>
      <c r="BA65" s="47">
        <f t="shared" si="39"/>
        <v>2.0260910228036346</v>
      </c>
      <c r="BB65" s="47">
        <f t="shared" si="39"/>
        <v>2.0712954184228098</v>
      </c>
      <c r="BC65" s="47">
        <f t="shared" si="39"/>
        <v>2.1175083755331991</v>
      </c>
      <c r="BD65" s="47">
        <f t="shared" si="39"/>
        <v>2.1647523962890207</v>
      </c>
      <c r="BE65" s="47">
        <f t="shared" si="39"/>
        <v>2.2130504848931527</v>
      </c>
      <c r="BF65" s="47">
        <f t="shared" si="39"/>
        <v>2.2624261587984082</v>
      </c>
      <c r="BG65" s="47">
        <f t="shared" si="39"/>
        <v>2.3129034601587257</v>
      </c>
      <c r="BH65" s="47">
        <f t="shared" si="39"/>
        <v>2.3645069675358505</v>
      </c>
      <c r="BI65" s="47">
        <f t="shared" si="39"/>
        <v>2.4172618078672001</v>
      </c>
      <c r="BJ65" s="47">
        <f t="shared" si="39"/>
        <v>2.4711936687007503</v>
      </c>
      <c r="BK65" s="47">
        <f t="shared" si="39"/>
        <v>2.5263288107028949</v>
      </c>
      <c r="BL65" s="47">
        <f t="shared" si="39"/>
        <v>2.58269408044537</v>
      </c>
      <c r="BM65" s="47">
        <f t="shared" si="39"/>
        <v>2.6403169234774664</v>
      </c>
      <c r="BN65" s="47">
        <f t="shared" si="39"/>
        <v>2.6992253976899039</v>
      </c>
      <c r="BO65" s="47">
        <f t="shared" si="39"/>
        <v>2.759448186976861</v>
      </c>
      <c r="BP65" s="47">
        <f t="shared" si="38"/>
        <v>2.8210146152028286</v>
      </c>
      <c r="BQ65" s="47">
        <f t="shared" si="38"/>
        <v>2.8839546604810722</v>
      </c>
      <c r="BR65" s="47">
        <f t="shared" si="38"/>
        <v>2.9482989697706681</v>
      </c>
      <c r="BS65" s="47">
        <f t="shared" si="38"/>
        <v>3.0140788737992121</v>
      </c>
      <c r="BT65" s="47">
        <f t="shared" si="38"/>
        <v>3.0813264023184788</v>
      </c>
      <c r="BU65" s="47">
        <f t="shared" si="38"/>
        <v>3.1500742997004383</v>
      </c>
      <c r="BV65" s="47">
        <f t="shared" si="38"/>
        <v>3.2203560408812524</v>
      </c>
      <c r="BW65" s="47">
        <f t="shared" si="38"/>
        <v>3.2922058476609863</v>
      </c>
      <c r="BX65" s="47">
        <f t="shared" si="38"/>
        <v>3.3656587053670011</v>
      </c>
      <c r="BY65" s="47">
        <f t="shared" si="38"/>
        <v>3.4407503798891064</v>
      </c>
    </row>
    <row r="66" spans="1:77" x14ac:dyDescent="0.25">
      <c r="A66" s="116"/>
      <c r="B66" s="46">
        <v>2005</v>
      </c>
      <c r="C66" s="47">
        <f t="shared" si="30"/>
        <v>0.65753859158807237</v>
      </c>
      <c r="D66" s="47">
        <f t="shared" si="39"/>
        <v>0.67220902558856055</v>
      </c>
      <c r="E66" s="47">
        <f t="shared" si="39"/>
        <v>0.68720677366082494</v>
      </c>
      <c r="F66" s="47">
        <f t="shared" si="39"/>
        <v>0.7025391385541625</v>
      </c>
      <c r="G66" s="47">
        <f t="shared" si="39"/>
        <v>0.71821358595051465</v>
      </c>
      <c r="H66" s="47">
        <f t="shared" si="39"/>
        <v>0.73423774809967979</v>
      </c>
      <c r="I66" s="47">
        <f t="shared" si="39"/>
        <v>0.75061942753563204</v>
      </c>
      <c r="J66" s="47">
        <f t="shared" si="39"/>
        <v>0.76736660087575514</v>
      </c>
      <c r="K66" s="47">
        <f t="shared" si="39"/>
        <v>0.78448742270483995</v>
      </c>
      <c r="L66" s="47">
        <f t="shared" si="39"/>
        <v>0.8019902295457414</v>
      </c>
      <c r="M66" s="47">
        <f t="shared" si="39"/>
        <v>0.81988354391862295</v>
      </c>
      <c r="N66" s="47">
        <f t="shared" si="39"/>
        <v>0.83817607849076825</v>
      </c>
      <c r="O66" s="47">
        <f t="shared" si="39"/>
        <v>0.85687674031897954</v>
      </c>
      <c r="P66" s="47">
        <f t="shared" si="39"/>
        <v>0.8759946351866289</v>
      </c>
      <c r="Q66" s="47">
        <f t="shared" si="39"/>
        <v>0.89553907203747463</v>
      </c>
      <c r="R66" s="47">
        <f t="shared" si="39"/>
        <v>0.91551956750840024</v>
      </c>
      <c r="S66" s="47">
        <f t="shared" si="39"/>
        <v>0.93594585056328394</v>
      </c>
      <c r="T66" s="47">
        <f t="shared" si="39"/>
        <v>0.95682786723025592</v>
      </c>
      <c r="U66" s="47">
        <f t="shared" si="39"/>
        <v>0.97817578544464889</v>
      </c>
      <c r="V66" s="47">
        <f t="shared" si="39"/>
        <v>1</v>
      </c>
      <c r="W66" s="47">
        <f t="shared" si="39"/>
        <v>1.0223111376095151</v>
      </c>
      <c r="X66" s="47">
        <f t="shared" si="39"/>
        <v>1.0451200620804608</v>
      </c>
      <c r="Y66" s="47">
        <f t="shared" si="39"/>
        <v>1.0684378796040028</v>
      </c>
      <c r="Z66" s="47">
        <f t="shared" si="39"/>
        <v>1.0922759441630663</v>
      </c>
      <c r="AA66" s="47">
        <f t="shared" si="39"/>
        <v>1.1166458630608516</v>
      </c>
      <c r="AB66" s="47">
        <f t="shared" si="39"/>
        <v>1.1415595025726979</v>
      </c>
      <c r="AC66" s="47">
        <f t="shared" si="39"/>
        <v>1.1670289937240468</v>
      </c>
      <c r="AD66" s="47">
        <f t="shared" si="39"/>
        <v>1.1930667381973179</v>
      </c>
      <c r="AE66" s="47">
        <f t="shared" si="39"/>
        <v>1.2196854143705735</v>
      </c>
      <c r="AF66" s="47">
        <f t="shared" si="39"/>
        <v>1.2468979834909137</v>
      </c>
      <c r="AG66" s="47">
        <f t="shared" si="39"/>
        <v>1.2747176959856064</v>
      </c>
      <c r="AH66" s="47">
        <f t="shared" si="39"/>
        <v>1.3031580979140251</v>
      </c>
      <c r="AI66" s="47">
        <f t="shared" si="39"/>
        <v>1.3322330375635392</v>
      </c>
      <c r="AJ66" s="47">
        <f t="shared" si="39"/>
        <v>1.3619566721925613</v>
      </c>
      <c r="AK66" s="47">
        <f t="shared" si="39"/>
        <v>1.3923434749240466</v>
      </c>
      <c r="AL66" s="47">
        <f t="shared" si="39"/>
        <v>1.4234082417927876</v>
      </c>
      <c r="AM66" s="47">
        <f t="shared" si="39"/>
        <v>1.4551660989499444</v>
      </c>
      <c r="AN66" s="47">
        <f t="shared" si="39"/>
        <v>1.4876325100283176</v>
      </c>
      <c r="AO66" s="47">
        <f t="shared" si="39"/>
        <v>1.5208232836719477</v>
      </c>
      <c r="AP66" s="47">
        <f t="shared" si="39"/>
        <v>1.5547545812337071</v>
      </c>
      <c r="AQ66" s="47">
        <f t="shared" si="39"/>
        <v>1.5894429246446367</v>
      </c>
      <c r="AR66" s="47">
        <f t="shared" si="39"/>
        <v>1.624905204458853</v>
      </c>
      <c r="AS66" s="47">
        <f t="shared" si="39"/>
        <v>1.6611586880779516</v>
      </c>
      <c r="AT66" s="47">
        <f t="shared" si="39"/>
        <v>1.6982210281589003</v>
      </c>
      <c r="AU66" s="47">
        <f t="shared" si="39"/>
        <v>1.7361102712095255</v>
      </c>
      <c r="AV66" s="47">
        <f t="shared" si="39"/>
        <v>1.7748448663757739</v>
      </c>
      <c r="AW66" s="47">
        <f t="shared" si="39"/>
        <v>1.814443674425025</v>
      </c>
      <c r="AX66" s="47">
        <f t="shared" si="39"/>
        <v>1.8549259769298359</v>
      </c>
      <c r="AY66" s="47">
        <f t="shared" si="39"/>
        <v>1.8963114856565819</v>
      </c>
      <c r="AZ66" s="47">
        <f t="shared" si="39"/>
        <v>1.9386203521635696</v>
      </c>
      <c r="BA66" s="47">
        <f t="shared" si="39"/>
        <v>1.9818731776132974</v>
      </c>
      <c r="BB66" s="47">
        <f t="shared" si="39"/>
        <v>2.0260910228036346</v>
      </c>
      <c r="BC66" s="47">
        <f t="shared" si="39"/>
        <v>2.0712954184228098</v>
      </c>
      <c r="BD66" s="47">
        <f t="shared" si="39"/>
        <v>2.1175083755331991</v>
      </c>
      <c r="BE66" s="47">
        <f t="shared" si="39"/>
        <v>2.1647523962890207</v>
      </c>
      <c r="BF66" s="47">
        <f t="shared" si="39"/>
        <v>2.2130504848931527</v>
      </c>
      <c r="BG66" s="47">
        <f t="shared" si="39"/>
        <v>2.2624261587984082</v>
      </c>
      <c r="BH66" s="47">
        <f t="shared" si="39"/>
        <v>2.3129034601587257</v>
      </c>
      <c r="BI66" s="47">
        <f t="shared" si="39"/>
        <v>2.3645069675358505</v>
      </c>
      <c r="BJ66" s="47">
        <f t="shared" si="39"/>
        <v>2.4172618078672001</v>
      </c>
      <c r="BK66" s="47">
        <f t="shared" si="39"/>
        <v>2.4711936687007503</v>
      </c>
      <c r="BL66" s="47">
        <f t="shared" si="39"/>
        <v>2.5263288107028949</v>
      </c>
      <c r="BM66" s="47">
        <f t="shared" si="39"/>
        <v>2.58269408044537</v>
      </c>
      <c r="BN66" s="47">
        <f t="shared" si="39"/>
        <v>2.6403169234774664</v>
      </c>
      <c r="BO66" s="47">
        <f t="shared" si="39"/>
        <v>2.6992253976899039</v>
      </c>
      <c r="BP66" s="47">
        <f t="shared" si="38"/>
        <v>2.759448186976861</v>
      </c>
      <c r="BQ66" s="47">
        <f t="shared" si="38"/>
        <v>2.8210146152028286</v>
      </c>
      <c r="BR66" s="47">
        <f t="shared" si="38"/>
        <v>2.8839546604810722</v>
      </c>
      <c r="BS66" s="47">
        <f t="shared" si="38"/>
        <v>2.9482989697706681</v>
      </c>
      <c r="BT66" s="47">
        <f t="shared" si="38"/>
        <v>3.0140788737992121</v>
      </c>
      <c r="BU66" s="47">
        <f t="shared" si="38"/>
        <v>3.0813264023184788</v>
      </c>
      <c r="BV66" s="47">
        <f t="shared" si="38"/>
        <v>3.1500742997004383</v>
      </c>
      <c r="BW66" s="47">
        <f t="shared" si="38"/>
        <v>3.2203560408812524</v>
      </c>
      <c r="BX66" s="47">
        <f t="shared" si="38"/>
        <v>3.2922058476609863</v>
      </c>
      <c r="BY66" s="47">
        <f t="shared" si="38"/>
        <v>3.3656587053670011</v>
      </c>
    </row>
    <row r="67" spans="1:77" x14ac:dyDescent="0.25">
      <c r="A67" s="116"/>
      <c r="B67" s="46">
        <v>2006</v>
      </c>
      <c r="C67" s="47">
        <f t="shared" si="30"/>
        <v>0.64318832828683092</v>
      </c>
      <c r="D67" s="47">
        <f t="shared" si="39"/>
        <v>0.65753859158807237</v>
      </c>
      <c r="E67" s="47">
        <f t="shared" si="39"/>
        <v>0.67220902558856055</v>
      </c>
      <c r="F67" s="47">
        <f t="shared" si="39"/>
        <v>0.68720677366082494</v>
      </c>
      <c r="G67" s="47">
        <f t="shared" si="39"/>
        <v>0.7025391385541625</v>
      </c>
      <c r="H67" s="47">
        <f t="shared" si="39"/>
        <v>0.71821358595051465</v>
      </c>
      <c r="I67" s="47">
        <f t="shared" si="39"/>
        <v>0.73423774809967979</v>
      </c>
      <c r="J67" s="47">
        <f t="shared" si="39"/>
        <v>0.75061942753563204</v>
      </c>
      <c r="K67" s="47">
        <f t="shared" si="39"/>
        <v>0.76736660087575514</v>
      </c>
      <c r="L67" s="47">
        <f t="shared" si="39"/>
        <v>0.78448742270483995</v>
      </c>
      <c r="M67" s="47">
        <f t="shared" si="39"/>
        <v>0.8019902295457414</v>
      </c>
      <c r="N67" s="47">
        <f t="shared" si="39"/>
        <v>0.81988354391862295</v>
      </c>
      <c r="O67" s="47">
        <f t="shared" si="39"/>
        <v>0.83817607849076825</v>
      </c>
      <c r="P67" s="47">
        <f t="shared" si="39"/>
        <v>0.85687674031897954</v>
      </c>
      <c r="Q67" s="47">
        <f t="shared" si="39"/>
        <v>0.8759946351866289</v>
      </c>
      <c r="R67" s="47">
        <f t="shared" si="39"/>
        <v>0.89553907203747463</v>
      </c>
      <c r="S67" s="47">
        <f t="shared" si="39"/>
        <v>0.91551956750840024</v>
      </c>
      <c r="T67" s="47">
        <f t="shared" si="39"/>
        <v>0.93594585056328394</v>
      </c>
      <c r="U67" s="47">
        <f t="shared" si="39"/>
        <v>0.95682786723025592</v>
      </c>
      <c r="V67" s="47">
        <f t="shared" si="39"/>
        <v>0.97817578544464889</v>
      </c>
      <c r="W67" s="47">
        <f t="shared" si="39"/>
        <v>1</v>
      </c>
      <c r="X67" s="47">
        <f t="shared" si="39"/>
        <v>1.0223111376095151</v>
      </c>
      <c r="Y67" s="47">
        <f t="shared" si="39"/>
        <v>1.0451200620804608</v>
      </c>
      <c r="Z67" s="47">
        <f t="shared" si="39"/>
        <v>1.0684378796040028</v>
      </c>
      <c r="AA67" s="47">
        <f t="shared" si="39"/>
        <v>1.0922759441630663</v>
      </c>
      <c r="AB67" s="47">
        <f t="shared" si="39"/>
        <v>1.1166458630608516</v>
      </c>
      <c r="AC67" s="47">
        <f t="shared" si="39"/>
        <v>1.1415595025726979</v>
      </c>
      <c r="AD67" s="47">
        <f t="shared" si="39"/>
        <v>1.1670289937240468</v>
      </c>
      <c r="AE67" s="47">
        <f t="shared" si="39"/>
        <v>1.1930667381973179</v>
      </c>
      <c r="AF67" s="47">
        <f t="shared" si="39"/>
        <v>1.2196854143705735</v>
      </c>
      <c r="AG67" s="47">
        <f t="shared" si="39"/>
        <v>1.2468979834909137</v>
      </c>
      <c r="AH67" s="47">
        <f t="shared" si="39"/>
        <v>1.2747176959856064</v>
      </c>
      <c r="AI67" s="47">
        <f t="shared" si="39"/>
        <v>1.3031580979140251</v>
      </c>
      <c r="AJ67" s="47">
        <f t="shared" si="39"/>
        <v>1.3322330375635392</v>
      </c>
      <c r="AK67" s="47">
        <f t="shared" si="39"/>
        <v>1.3619566721925613</v>
      </c>
      <c r="AL67" s="47">
        <f t="shared" si="39"/>
        <v>1.3923434749240466</v>
      </c>
      <c r="AM67" s="47">
        <f t="shared" si="39"/>
        <v>1.4234082417927876</v>
      </c>
      <c r="AN67" s="47">
        <f t="shared" si="39"/>
        <v>1.4551660989499444</v>
      </c>
      <c r="AO67" s="47">
        <f t="shared" si="39"/>
        <v>1.4876325100283176</v>
      </c>
      <c r="AP67" s="47">
        <f t="shared" si="39"/>
        <v>1.5208232836719477</v>
      </c>
      <c r="AQ67" s="47">
        <f t="shared" si="39"/>
        <v>1.5547545812337071</v>
      </c>
      <c r="AR67" s="47">
        <f t="shared" si="39"/>
        <v>1.5894429246446367</v>
      </c>
      <c r="AS67" s="47">
        <f t="shared" si="39"/>
        <v>1.624905204458853</v>
      </c>
      <c r="AT67" s="47">
        <f t="shared" si="39"/>
        <v>1.6611586880779516</v>
      </c>
      <c r="AU67" s="47">
        <f t="shared" si="39"/>
        <v>1.6982210281589003</v>
      </c>
      <c r="AV67" s="47">
        <f t="shared" si="39"/>
        <v>1.7361102712095255</v>
      </c>
      <c r="AW67" s="47">
        <f t="shared" si="39"/>
        <v>1.7748448663757739</v>
      </c>
      <c r="AX67" s="47">
        <f t="shared" si="39"/>
        <v>1.814443674425025</v>
      </c>
      <c r="AY67" s="47">
        <f t="shared" si="39"/>
        <v>1.8549259769298359</v>
      </c>
      <c r="AZ67" s="47">
        <f t="shared" si="39"/>
        <v>1.8963114856565819</v>
      </c>
      <c r="BA67" s="47">
        <f t="shared" si="39"/>
        <v>1.9386203521635696</v>
      </c>
      <c r="BB67" s="47">
        <f t="shared" si="39"/>
        <v>1.9818731776132974</v>
      </c>
      <c r="BC67" s="47">
        <f t="shared" si="39"/>
        <v>2.0260910228036346</v>
      </c>
      <c r="BD67" s="47">
        <f t="shared" si="39"/>
        <v>2.0712954184228098</v>
      </c>
      <c r="BE67" s="47">
        <f t="shared" si="39"/>
        <v>2.1175083755331991</v>
      </c>
      <c r="BF67" s="47">
        <f t="shared" si="39"/>
        <v>2.1647523962890207</v>
      </c>
      <c r="BG67" s="47">
        <f t="shared" si="39"/>
        <v>2.2130504848931527</v>
      </c>
      <c r="BH67" s="47">
        <f t="shared" si="39"/>
        <v>2.2624261587984082</v>
      </c>
      <c r="BI67" s="47">
        <f t="shared" si="39"/>
        <v>2.3129034601587257</v>
      </c>
      <c r="BJ67" s="47">
        <f t="shared" si="39"/>
        <v>2.3645069675358505</v>
      </c>
      <c r="BK67" s="47">
        <f t="shared" si="39"/>
        <v>2.4172618078672001</v>
      </c>
      <c r="BL67" s="47">
        <f t="shared" si="39"/>
        <v>2.4711936687007503</v>
      </c>
      <c r="BM67" s="47">
        <f t="shared" si="39"/>
        <v>2.5263288107028949</v>
      </c>
      <c r="BN67" s="47">
        <f t="shared" si="39"/>
        <v>2.58269408044537</v>
      </c>
      <c r="BO67" s="47">
        <f t="shared" si="39"/>
        <v>2.6403169234774664</v>
      </c>
      <c r="BP67" s="47">
        <f t="shared" si="38"/>
        <v>2.6992253976899039</v>
      </c>
      <c r="BQ67" s="47">
        <f t="shared" si="38"/>
        <v>2.759448186976861</v>
      </c>
      <c r="BR67" s="47">
        <f t="shared" si="38"/>
        <v>2.8210146152028286</v>
      </c>
      <c r="BS67" s="47">
        <f t="shared" si="38"/>
        <v>2.8839546604810722</v>
      </c>
      <c r="BT67" s="47">
        <f t="shared" si="38"/>
        <v>2.9482989697706681</v>
      </c>
      <c r="BU67" s="47">
        <f t="shared" si="38"/>
        <v>3.0140788737992121</v>
      </c>
      <c r="BV67" s="47">
        <f t="shared" si="38"/>
        <v>3.0813264023184788</v>
      </c>
      <c r="BW67" s="47">
        <f t="shared" si="38"/>
        <v>3.1500742997004383</v>
      </c>
      <c r="BX67" s="47">
        <f t="shared" si="38"/>
        <v>3.2203560408812524</v>
      </c>
      <c r="BY67" s="47">
        <f t="shared" si="38"/>
        <v>3.2922058476609863</v>
      </c>
    </row>
    <row r="68" spans="1:77" x14ac:dyDescent="0.25">
      <c r="A68" s="116"/>
      <c r="B68" s="46">
        <v>2007</v>
      </c>
      <c r="C68" s="47">
        <f t="shared" si="30"/>
        <v>0.62915124821080148</v>
      </c>
      <c r="D68" s="47">
        <f t="shared" si="39"/>
        <v>0.64318832828683092</v>
      </c>
      <c r="E68" s="47">
        <f t="shared" si="39"/>
        <v>0.65753859158807237</v>
      </c>
      <c r="F68" s="47">
        <f t="shared" si="39"/>
        <v>0.67220902558856055</v>
      </c>
      <c r="G68" s="47">
        <f t="shared" si="39"/>
        <v>0.68720677366082494</v>
      </c>
      <c r="H68" s="47">
        <f t="shared" si="39"/>
        <v>0.7025391385541625</v>
      </c>
      <c r="I68" s="47">
        <f t="shared" si="39"/>
        <v>0.71821358595051465</v>
      </c>
      <c r="J68" s="47">
        <f t="shared" si="39"/>
        <v>0.73423774809967979</v>
      </c>
      <c r="K68" s="47">
        <f t="shared" si="39"/>
        <v>0.75061942753563204</v>
      </c>
      <c r="L68" s="47">
        <f t="shared" si="39"/>
        <v>0.76736660087575514</v>
      </c>
      <c r="M68" s="47">
        <f t="shared" si="39"/>
        <v>0.78448742270483995</v>
      </c>
      <c r="N68" s="47">
        <f t="shared" si="39"/>
        <v>0.8019902295457414</v>
      </c>
      <c r="O68" s="47">
        <f t="shared" si="39"/>
        <v>0.81988354391862295</v>
      </c>
      <c r="P68" s="47">
        <f t="shared" si="39"/>
        <v>0.83817607849076825</v>
      </c>
      <c r="Q68" s="47">
        <f t="shared" si="39"/>
        <v>0.85687674031897954</v>
      </c>
      <c r="R68" s="47">
        <f t="shared" si="39"/>
        <v>0.8759946351866289</v>
      </c>
      <c r="S68" s="47">
        <f t="shared" si="39"/>
        <v>0.89553907203747463</v>
      </c>
      <c r="T68" s="47">
        <f t="shared" si="39"/>
        <v>0.91551956750840024</v>
      </c>
      <c r="U68" s="47">
        <f t="shared" si="39"/>
        <v>0.93594585056328394</v>
      </c>
      <c r="V68" s="47">
        <f t="shared" si="39"/>
        <v>0.95682786723025592</v>
      </c>
      <c r="W68" s="47">
        <f t="shared" si="39"/>
        <v>0.97817578544464889</v>
      </c>
      <c r="X68" s="47">
        <f t="shared" si="39"/>
        <v>1</v>
      </c>
      <c r="Y68" s="47">
        <f t="shared" si="39"/>
        <v>1.0223111376095151</v>
      </c>
      <c r="Z68" s="47">
        <f t="shared" si="39"/>
        <v>1.0451200620804608</v>
      </c>
      <c r="AA68" s="47">
        <f t="shared" si="39"/>
        <v>1.0684378796040028</v>
      </c>
      <c r="AB68" s="47">
        <f t="shared" si="39"/>
        <v>1.0922759441630663</v>
      </c>
      <c r="AC68" s="47">
        <f t="shared" si="39"/>
        <v>1.1166458630608516</v>
      </c>
      <c r="AD68" s="47">
        <f t="shared" si="39"/>
        <v>1.1415595025726979</v>
      </c>
      <c r="AE68" s="47">
        <f t="shared" si="39"/>
        <v>1.1670289937240468</v>
      </c>
      <c r="AF68" s="47">
        <f t="shared" si="39"/>
        <v>1.1930667381973179</v>
      </c>
      <c r="AG68" s="47">
        <f t="shared" si="39"/>
        <v>1.2196854143705735</v>
      </c>
      <c r="AH68" s="47">
        <f t="shared" si="39"/>
        <v>1.2468979834909137</v>
      </c>
      <c r="AI68" s="47">
        <f t="shared" si="39"/>
        <v>1.2747176959856064</v>
      </c>
      <c r="AJ68" s="47">
        <f t="shared" si="39"/>
        <v>1.3031580979140251</v>
      </c>
      <c r="AK68" s="47">
        <f t="shared" si="39"/>
        <v>1.3322330375635392</v>
      </c>
      <c r="AL68" s="47">
        <f t="shared" si="39"/>
        <v>1.3619566721925613</v>
      </c>
      <c r="AM68" s="47">
        <f t="shared" si="39"/>
        <v>1.3923434749240466</v>
      </c>
      <c r="AN68" s="47">
        <f t="shared" si="39"/>
        <v>1.4234082417927876</v>
      </c>
      <c r="AO68" s="47">
        <f t="shared" si="39"/>
        <v>1.4551660989499444</v>
      </c>
      <c r="AP68" s="47">
        <f t="shared" si="39"/>
        <v>1.4876325100283176</v>
      </c>
      <c r="AQ68" s="47">
        <f t="shared" si="39"/>
        <v>1.5208232836719477</v>
      </c>
      <c r="AR68" s="47">
        <f t="shared" si="39"/>
        <v>1.5547545812337071</v>
      </c>
      <c r="AS68" s="47">
        <f t="shared" si="39"/>
        <v>1.5894429246446367</v>
      </c>
      <c r="AT68" s="47">
        <f t="shared" si="39"/>
        <v>1.624905204458853</v>
      </c>
      <c r="AU68" s="47">
        <f t="shared" si="39"/>
        <v>1.6611586880779516</v>
      </c>
      <c r="AV68" s="47">
        <f t="shared" si="39"/>
        <v>1.6982210281589003</v>
      </c>
      <c r="AW68" s="47">
        <f t="shared" si="39"/>
        <v>1.7361102712095255</v>
      </c>
      <c r="AX68" s="47">
        <f t="shared" si="39"/>
        <v>1.7748448663757739</v>
      </c>
      <c r="AY68" s="47">
        <f t="shared" si="39"/>
        <v>1.814443674425025</v>
      </c>
      <c r="AZ68" s="47">
        <f t="shared" si="39"/>
        <v>1.8549259769298359</v>
      </c>
      <c r="BA68" s="47">
        <f t="shared" si="39"/>
        <v>1.8963114856565819</v>
      </c>
      <c r="BB68" s="47">
        <f t="shared" si="39"/>
        <v>1.9386203521635696</v>
      </c>
      <c r="BC68" s="47">
        <f t="shared" si="39"/>
        <v>1.9818731776132974</v>
      </c>
      <c r="BD68" s="47">
        <f t="shared" si="39"/>
        <v>2.0260910228036346</v>
      </c>
      <c r="BE68" s="47">
        <f t="shared" si="39"/>
        <v>2.0712954184228098</v>
      </c>
      <c r="BF68" s="47">
        <f t="shared" si="39"/>
        <v>2.1175083755331991</v>
      </c>
      <c r="BG68" s="47">
        <f t="shared" si="39"/>
        <v>2.1647523962890207</v>
      </c>
      <c r="BH68" s="47">
        <f t="shared" si="39"/>
        <v>2.2130504848931527</v>
      </c>
      <c r="BI68" s="47">
        <f t="shared" si="39"/>
        <v>2.2624261587984082</v>
      </c>
      <c r="BJ68" s="47">
        <f t="shared" si="39"/>
        <v>2.3129034601587257</v>
      </c>
      <c r="BK68" s="47">
        <f t="shared" si="39"/>
        <v>2.3645069675358505</v>
      </c>
      <c r="BL68" s="47">
        <f t="shared" si="39"/>
        <v>2.4172618078672001</v>
      </c>
      <c r="BM68" s="47">
        <f t="shared" si="39"/>
        <v>2.4711936687007503</v>
      </c>
      <c r="BN68" s="47">
        <f t="shared" si="39"/>
        <v>2.5263288107028949</v>
      </c>
      <c r="BO68" s="47">
        <f t="shared" ref="BO68:BY71" si="40">(1+$F$44)^(BO$46-$B68)</f>
        <v>2.58269408044537</v>
      </c>
      <c r="BP68" s="47">
        <f t="shared" si="40"/>
        <v>2.6403169234774664</v>
      </c>
      <c r="BQ68" s="47">
        <f t="shared" si="40"/>
        <v>2.6992253976899039</v>
      </c>
      <c r="BR68" s="47">
        <f t="shared" si="40"/>
        <v>2.759448186976861</v>
      </c>
      <c r="BS68" s="47">
        <f t="shared" si="40"/>
        <v>2.8210146152028286</v>
      </c>
      <c r="BT68" s="47">
        <f t="shared" si="40"/>
        <v>2.8839546604810722</v>
      </c>
      <c r="BU68" s="47">
        <f t="shared" si="40"/>
        <v>2.9482989697706681</v>
      </c>
      <c r="BV68" s="47">
        <f t="shared" si="40"/>
        <v>3.0140788737992121</v>
      </c>
      <c r="BW68" s="47">
        <f t="shared" si="40"/>
        <v>3.0813264023184788</v>
      </c>
      <c r="BX68" s="47">
        <f t="shared" si="40"/>
        <v>3.1500742997004383</v>
      </c>
      <c r="BY68" s="47">
        <f t="shared" si="40"/>
        <v>3.2203560408812524</v>
      </c>
    </row>
    <row r="69" spans="1:77" x14ac:dyDescent="0.25">
      <c r="A69" s="116"/>
      <c r="B69" s="46">
        <v>2008</v>
      </c>
      <c r="C69" s="47">
        <f t="shared" si="30"/>
        <v>0.61542051638208206</v>
      </c>
      <c r="D69" s="47">
        <f t="shared" ref="D69:BO72" si="41">(1+$F$44)^(D$46-$B69)</f>
        <v>0.62915124821080148</v>
      </c>
      <c r="E69" s="47">
        <f t="shared" si="41"/>
        <v>0.64318832828683092</v>
      </c>
      <c r="F69" s="47">
        <f t="shared" si="41"/>
        <v>0.65753859158807237</v>
      </c>
      <c r="G69" s="47">
        <f t="shared" si="41"/>
        <v>0.67220902558856055</v>
      </c>
      <c r="H69" s="47">
        <f t="shared" si="41"/>
        <v>0.68720677366082494</v>
      </c>
      <c r="I69" s="47">
        <f t="shared" si="41"/>
        <v>0.7025391385541625</v>
      </c>
      <c r="J69" s="47">
        <f t="shared" si="41"/>
        <v>0.71821358595051465</v>
      </c>
      <c r="K69" s="47">
        <f t="shared" si="41"/>
        <v>0.73423774809967979</v>
      </c>
      <c r="L69" s="47">
        <f t="shared" si="41"/>
        <v>0.75061942753563204</v>
      </c>
      <c r="M69" s="47">
        <f t="shared" si="41"/>
        <v>0.76736660087575514</v>
      </c>
      <c r="N69" s="47">
        <f t="shared" si="41"/>
        <v>0.78448742270483995</v>
      </c>
      <c r="O69" s="47">
        <f t="shared" si="41"/>
        <v>0.8019902295457414</v>
      </c>
      <c r="P69" s="47">
        <f t="shared" si="41"/>
        <v>0.81988354391862295</v>
      </c>
      <c r="Q69" s="47">
        <f t="shared" si="41"/>
        <v>0.83817607849076825</v>
      </c>
      <c r="R69" s="47">
        <f t="shared" si="41"/>
        <v>0.85687674031897954</v>
      </c>
      <c r="S69" s="47">
        <f t="shared" si="41"/>
        <v>0.8759946351866289</v>
      </c>
      <c r="T69" s="47">
        <f t="shared" si="41"/>
        <v>0.89553907203747463</v>
      </c>
      <c r="U69" s="47">
        <f t="shared" si="41"/>
        <v>0.91551956750840024</v>
      </c>
      <c r="V69" s="47">
        <f t="shared" si="41"/>
        <v>0.93594585056328394</v>
      </c>
      <c r="W69" s="47">
        <f t="shared" si="41"/>
        <v>0.95682786723025592</v>
      </c>
      <c r="X69" s="47">
        <f t="shared" si="41"/>
        <v>0.97817578544464889</v>
      </c>
      <c r="Y69" s="47">
        <f t="shared" si="41"/>
        <v>1</v>
      </c>
      <c r="Z69" s="47">
        <f t="shared" si="41"/>
        <v>1.0223111376095151</v>
      </c>
      <c r="AA69" s="47">
        <f t="shared" si="41"/>
        <v>1.0451200620804608</v>
      </c>
      <c r="AB69" s="47">
        <f t="shared" si="41"/>
        <v>1.0684378796040028</v>
      </c>
      <c r="AC69" s="47">
        <f t="shared" si="41"/>
        <v>1.0922759441630663</v>
      </c>
      <c r="AD69" s="47">
        <f t="shared" si="41"/>
        <v>1.1166458630608516</v>
      </c>
      <c r="AE69" s="47">
        <f t="shared" si="41"/>
        <v>1.1415595025726979</v>
      </c>
      <c r="AF69" s="47">
        <f t="shared" si="41"/>
        <v>1.1670289937240468</v>
      </c>
      <c r="AG69" s="47">
        <f t="shared" si="41"/>
        <v>1.1930667381973179</v>
      </c>
      <c r="AH69" s="47">
        <f t="shared" si="41"/>
        <v>1.2196854143705735</v>
      </c>
      <c r="AI69" s="47">
        <f t="shared" si="41"/>
        <v>1.2468979834909137</v>
      </c>
      <c r="AJ69" s="47">
        <f t="shared" si="41"/>
        <v>1.2747176959856064</v>
      </c>
      <c r="AK69" s="47">
        <f t="shared" si="41"/>
        <v>1.3031580979140251</v>
      </c>
      <c r="AL69" s="47">
        <f t="shared" si="41"/>
        <v>1.3322330375635392</v>
      </c>
      <c r="AM69" s="47">
        <f t="shared" si="41"/>
        <v>1.3619566721925613</v>
      </c>
      <c r="AN69" s="47">
        <f t="shared" si="41"/>
        <v>1.3923434749240466</v>
      </c>
      <c r="AO69" s="47">
        <f t="shared" si="41"/>
        <v>1.4234082417927876</v>
      </c>
      <c r="AP69" s="47">
        <f t="shared" si="41"/>
        <v>1.4551660989499444</v>
      </c>
      <c r="AQ69" s="47">
        <f t="shared" si="41"/>
        <v>1.4876325100283176</v>
      </c>
      <c r="AR69" s="47">
        <f t="shared" si="41"/>
        <v>1.5208232836719477</v>
      </c>
      <c r="AS69" s="47">
        <f t="shared" si="41"/>
        <v>1.5547545812337071</v>
      </c>
      <c r="AT69" s="47">
        <f t="shared" si="41"/>
        <v>1.5894429246446367</v>
      </c>
      <c r="AU69" s="47">
        <f t="shared" si="41"/>
        <v>1.624905204458853</v>
      </c>
      <c r="AV69" s="47">
        <f t="shared" si="41"/>
        <v>1.6611586880779516</v>
      </c>
      <c r="AW69" s="47">
        <f t="shared" si="41"/>
        <v>1.6982210281589003</v>
      </c>
      <c r="AX69" s="47">
        <f t="shared" si="41"/>
        <v>1.7361102712095255</v>
      </c>
      <c r="AY69" s="47">
        <f t="shared" si="41"/>
        <v>1.7748448663757739</v>
      </c>
      <c r="AZ69" s="47">
        <f t="shared" si="41"/>
        <v>1.814443674425025</v>
      </c>
      <c r="BA69" s="47">
        <f t="shared" si="41"/>
        <v>1.8549259769298359</v>
      </c>
      <c r="BB69" s="47">
        <f t="shared" si="41"/>
        <v>1.8963114856565819</v>
      </c>
      <c r="BC69" s="47">
        <f t="shared" si="41"/>
        <v>1.9386203521635696</v>
      </c>
      <c r="BD69" s="47">
        <f t="shared" si="41"/>
        <v>1.9818731776132974</v>
      </c>
      <c r="BE69" s="47">
        <f t="shared" si="41"/>
        <v>2.0260910228036346</v>
      </c>
      <c r="BF69" s="47">
        <f t="shared" si="41"/>
        <v>2.0712954184228098</v>
      </c>
      <c r="BG69" s="47">
        <f t="shared" si="41"/>
        <v>2.1175083755331991</v>
      </c>
      <c r="BH69" s="47">
        <f t="shared" si="41"/>
        <v>2.1647523962890207</v>
      </c>
      <c r="BI69" s="47">
        <f t="shared" si="41"/>
        <v>2.2130504848931527</v>
      </c>
      <c r="BJ69" s="47">
        <f t="shared" si="41"/>
        <v>2.2624261587984082</v>
      </c>
      <c r="BK69" s="47">
        <f t="shared" si="41"/>
        <v>2.3129034601587257</v>
      </c>
      <c r="BL69" s="47">
        <f t="shared" si="41"/>
        <v>2.3645069675358505</v>
      </c>
      <c r="BM69" s="47">
        <f t="shared" si="41"/>
        <v>2.4172618078672001</v>
      </c>
      <c r="BN69" s="47">
        <f t="shared" si="41"/>
        <v>2.4711936687007503</v>
      </c>
      <c r="BO69" s="47">
        <f t="shared" si="41"/>
        <v>2.5263288107028949</v>
      </c>
      <c r="BP69" s="47">
        <f t="shared" si="40"/>
        <v>2.58269408044537</v>
      </c>
      <c r="BQ69" s="47">
        <f t="shared" si="40"/>
        <v>2.6403169234774664</v>
      </c>
      <c r="BR69" s="47">
        <f t="shared" si="40"/>
        <v>2.6992253976899039</v>
      </c>
      <c r="BS69" s="47">
        <f t="shared" si="40"/>
        <v>2.759448186976861</v>
      </c>
      <c r="BT69" s="47">
        <f t="shared" si="40"/>
        <v>2.8210146152028286</v>
      </c>
      <c r="BU69" s="47">
        <f t="shared" si="40"/>
        <v>2.8839546604810722</v>
      </c>
      <c r="BV69" s="47">
        <f t="shared" si="40"/>
        <v>2.9482989697706681</v>
      </c>
      <c r="BW69" s="47">
        <f t="shared" si="40"/>
        <v>3.0140788737992121</v>
      </c>
      <c r="BX69" s="47">
        <f t="shared" si="40"/>
        <v>3.0813264023184788</v>
      </c>
      <c r="BY69" s="47">
        <f t="shared" si="40"/>
        <v>3.1500742997004383</v>
      </c>
    </row>
    <row r="70" spans="1:77" x14ac:dyDescent="0.25">
      <c r="A70" s="116"/>
      <c r="B70" s="46">
        <v>2009</v>
      </c>
      <c r="C70" s="47">
        <f t="shared" si="30"/>
        <v>0.6019894469907946</v>
      </c>
      <c r="D70" s="47">
        <f t="shared" si="41"/>
        <v>0.61542051638208206</v>
      </c>
      <c r="E70" s="47">
        <f t="shared" si="41"/>
        <v>0.62915124821080148</v>
      </c>
      <c r="F70" s="47">
        <f t="shared" si="41"/>
        <v>0.64318832828683092</v>
      </c>
      <c r="G70" s="47">
        <f t="shared" si="41"/>
        <v>0.65753859158807237</v>
      </c>
      <c r="H70" s="47">
        <f t="shared" si="41"/>
        <v>0.67220902558856055</v>
      </c>
      <c r="I70" s="47">
        <f t="shared" si="41"/>
        <v>0.68720677366082494</v>
      </c>
      <c r="J70" s="47">
        <f t="shared" si="41"/>
        <v>0.7025391385541625</v>
      </c>
      <c r="K70" s="47">
        <f t="shared" si="41"/>
        <v>0.71821358595051465</v>
      </c>
      <c r="L70" s="47">
        <f t="shared" si="41"/>
        <v>0.73423774809967979</v>
      </c>
      <c r="M70" s="47">
        <f t="shared" si="41"/>
        <v>0.75061942753563204</v>
      </c>
      <c r="N70" s="47">
        <f t="shared" si="41"/>
        <v>0.76736660087575514</v>
      </c>
      <c r="O70" s="47">
        <f t="shared" si="41"/>
        <v>0.78448742270483995</v>
      </c>
      <c r="P70" s="47">
        <f t="shared" si="41"/>
        <v>0.8019902295457414</v>
      </c>
      <c r="Q70" s="47">
        <f t="shared" si="41"/>
        <v>0.81988354391862295</v>
      </c>
      <c r="R70" s="47">
        <f t="shared" si="41"/>
        <v>0.83817607849076825</v>
      </c>
      <c r="S70" s="47">
        <f t="shared" si="41"/>
        <v>0.85687674031897954</v>
      </c>
      <c r="T70" s="47">
        <f t="shared" si="41"/>
        <v>0.8759946351866289</v>
      </c>
      <c r="U70" s="47">
        <f t="shared" si="41"/>
        <v>0.89553907203747463</v>
      </c>
      <c r="V70" s="47">
        <f t="shared" si="41"/>
        <v>0.91551956750840024</v>
      </c>
      <c r="W70" s="47">
        <f t="shared" si="41"/>
        <v>0.93594585056328394</v>
      </c>
      <c r="X70" s="47">
        <f t="shared" si="41"/>
        <v>0.95682786723025592</v>
      </c>
      <c r="Y70" s="47">
        <f t="shared" si="41"/>
        <v>0.97817578544464889</v>
      </c>
      <c r="Z70" s="47">
        <f t="shared" si="41"/>
        <v>1</v>
      </c>
      <c r="AA70" s="47">
        <f t="shared" si="41"/>
        <v>1.0223111376095151</v>
      </c>
      <c r="AB70" s="47">
        <f t="shared" si="41"/>
        <v>1.0451200620804608</v>
      </c>
      <c r="AC70" s="47">
        <f t="shared" si="41"/>
        <v>1.0684378796040028</v>
      </c>
      <c r="AD70" s="47">
        <f t="shared" si="41"/>
        <v>1.0922759441630663</v>
      </c>
      <c r="AE70" s="47">
        <f t="shared" si="41"/>
        <v>1.1166458630608516</v>
      </c>
      <c r="AF70" s="47">
        <f t="shared" si="41"/>
        <v>1.1415595025726979</v>
      </c>
      <c r="AG70" s="47">
        <f t="shared" si="41"/>
        <v>1.1670289937240468</v>
      </c>
      <c r="AH70" s="47">
        <f t="shared" si="41"/>
        <v>1.1930667381973179</v>
      </c>
      <c r="AI70" s="47">
        <f t="shared" si="41"/>
        <v>1.2196854143705735</v>
      </c>
      <c r="AJ70" s="47">
        <f t="shared" si="41"/>
        <v>1.2468979834909137</v>
      </c>
      <c r="AK70" s="47">
        <f t="shared" si="41"/>
        <v>1.2747176959856064</v>
      </c>
      <c r="AL70" s="47">
        <f t="shared" si="41"/>
        <v>1.3031580979140251</v>
      </c>
      <c r="AM70" s="47">
        <f t="shared" si="41"/>
        <v>1.3322330375635392</v>
      </c>
      <c r="AN70" s="47">
        <f t="shared" si="41"/>
        <v>1.3619566721925613</v>
      </c>
      <c r="AO70" s="47">
        <f t="shared" si="41"/>
        <v>1.3923434749240466</v>
      </c>
      <c r="AP70" s="47">
        <f t="shared" si="41"/>
        <v>1.4234082417927876</v>
      </c>
      <c r="AQ70" s="47">
        <f t="shared" si="41"/>
        <v>1.4551660989499444</v>
      </c>
      <c r="AR70" s="47">
        <f t="shared" si="41"/>
        <v>1.4876325100283176</v>
      </c>
      <c r="AS70" s="47">
        <f t="shared" si="41"/>
        <v>1.5208232836719477</v>
      </c>
      <c r="AT70" s="47">
        <f t="shared" si="41"/>
        <v>1.5547545812337071</v>
      </c>
      <c r="AU70" s="47">
        <f t="shared" si="41"/>
        <v>1.5894429246446367</v>
      </c>
      <c r="AV70" s="47">
        <f t="shared" si="41"/>
        <v>1.624905204458853</v>
      </c>
      <c r="AW70" s="47">
        <f t="shared" si="41"/>
        <v>1.6611586880779516</v>
      </c>
      <c r="AX70" s="47">
        <f t="shared" si="41"/>
        <v>1.6982210281589003</v>
      </c>
      <c r="AY70" s="47">
        <f t="shared" si="41"/>
        <v>1.7361102712095255</v>
      </c>
      <c r="AZ70" s="47">
        <f t="shared" si="41"/>
        <v>1.7748448663757739</v>
      </c>
      <c r="BA70" s="47">
        <f t="shared" si="41"/>
        <v>1.814443674425025</v>
      </c>
      <c r="BB70" s="47">
        <f t="shared" si="41"/>
        <v>1.8549259769298359</v>
      </c>
      <c r="BC70" s="47">
        <f t="shared" si="41"/>
        <v>1.8963114856565819</v>
      </c>
      <c r="BD70" s="47">
        <f t="shared" si="41"/>
        <v>1.9386203521635696</v>
      </c>
      <c r="BE70" s="47">
        <f t="shared" si="41"/>
        <v>1.9818731776132974</v>
      </c>
      <c r="BF70" s="47">
        <f t="shared" si="41"/>
        <v>2.0260910228036346</v>
      </c>
      <c r="BG70" s="47">
        <f t="shared" si="41"/>
        <v>2.0712954184228098</v>
      </c>
      <c r="BH70" s="47">
        <f t="shared" si="41"/>
        <v>2.1175083755331991</v>
      </c>
      <c r="BI70" s="47">
        <f t="shared" si="41"/>
        <v>2.1647523962890207</v>
      </c>
      <c r="BJ70" s="47">
        <f t="shared" si="41"/>
        <v>2.2130504848931527</v>
      </c>
      <c r="BK70" s="47">
        <f t="shared" si="41"/>
        <v>2.2624261587984082</v>
      </c>
      <c r="BL70" s="47">
        <f t="shared" si="41"/>
        <v>2.3129034601587257</v>
      </c>
      <c r="BM70" s="47">
        <f t="shared" si="41"/>
        <v>2.3645069675358505</v>
      </c>
      <c r="BN70" s="47">
        <f t="shared" si="41"/>
        <v>2.4172618078672001</v>
      </c>
      <c r="BO70" s="47">
        <f t="shared" si="41"/>
        <v>2.4711936687007503</v>
      </c>
      <c r="BP70" s="47">
        <f t="shared" si="40"/>
        <v>2.5263288107028949</v>
      </c>
      <c r="BQ70" s="47">
        <f t="shared" si="40"/>
        <v>2.58269408044537</v>
      </c>
      <c r="BR70" s="47">
        <f t="shared" si="40"/>
        <v>2.6403169234774664</v>
      </c>
      <c r="BS70" s="47">
        <f t="shared" si="40"/>
        <v>2.6992253976899039</v>
      </c>
      <c r="BT70" s="47">
        <f t="shared" si="40"/>
        <v>2.759448186976861</v>
      </c>
      <c r="BU70" s="47">
        <f t="shared" si="40"/>
        <v>2.8210146152028286</v>
      </c>
      <c r="BV70" s="47">
        <f t="shared" si="40"/>
        <v>2.8839546604810722</v>
      </c>
      <c r="BW70" s="47">
        <f t="shared" si="40"/>
        <v>2.9482989697706681</v>
      </c>
      <c r="BX70" s="47">
        <f t="shared" si="40"/>
        <v>3.0140788737992121</v>
      </c>
      <c r="BY70" s="47">
        <f t="shared" si="40"/>
        <v>3.0813264023184788</v>
      </c>
    </row>
    <row r="71" spans="1:77" x14ac:dyDescent="0.25">
      <c r="A71" s="116"/>
      <c r="B71" s="46">
        <v>2010</v>
      </c>
      <c r="C71" s="47">
        <f t="shared" si="30"/>
        <v>0.58885150013961041</v>
      </c>
      <c r="D71" s="47">
        <f t="shared" si="41"/>
        <v>0.6019894469907946</v>
      </c>
      <c r="E71" s="47">
        <f t="shared" si="41"/>
        <v>0.61542051638208206</v>
      </c>
      <c r="F71" s="47">
        <f t="shared" si="41"/>
        <v>0.62915124821080148</v>
      </c>
      <c r="G71" s="47">
        <f t="shared" si="41"/>
        <v>0.64318832828683092</v>
      </c>
      <c r="H71" s="47">
        <f t="shared" si="41"/>
        <v>0.65753859158807237</v>
      </c>
      <c r="I71" s="47">
        <f t="shared" si="41"/>
        <v>0.67220902558856055</v>
      </c>
      <c r="J71" s="47">
        <f t="shared" si="41"/>
        <v>0.68720677366082494</v>
      </c>
      <c r="K71" s="47">
        <f t="shared" si="41"/>
        <v>0.7025391385541625</v>
      </c>
      <c r="L71" s="47">
        <f t="shared" si="41"/>
        <v>0.71821358595051465</v>
      </c>
      <c r="M71" s="47">
        <f t="shared" si="41"/>
        <v>0.73423774809967979</v>
      </c>
      <c r="N71" s="47">
        <f t="shared" si="41"/>
        <v>0.75061942753563204</v>
      </c>
      <c r="O71" s="47">
        <f t="shared" si="41"/>
        <v>0.76736660087575514</v>
      </c>
      <c r="P71" s="47">
        <f t="shared" si="41"/>
        <v>0.78448742270483995</v>
      </c>
      <c r="Q71" s="47">
        <f t="shared" si="41"/>
        <v>0.8019902295457414</v>
      </c>
      <c r="R71" s="47">
        <f t="shared" si="41"/>
        <v>0.81988354391862295</v>
      </c>
      <c r="S71" s="47">
        <f t="shared" si="41"/>
        <v>0.83817607849076825</v>
      </c>
      <c r="T71" s="47">
        <f t="shared" si="41"/>
        <v>0.85687674031897954</v>
      </c>
      <c r="U71" s="47">
        <f t="shared" si="41"/>
        <v>0.8759946351866289</v>
      </c>
      <c r="V71" s="47">
        <f t="shared" si="41"/>
        <v>0.89553907203747463</v>
      </c>
      <c r="W71" s="47">
        <f t="shared" si="41"/>
        <v>0.91551956750840024</v>
      </c>
      <c r="X71" s="47">
        <f t="shared" si="41"/>
        <v>0.93594585056328394</v>
      </c>
      <c r="Y71" s="47">
        <f t="shared" si="41"/>
        <v>0.95682786723025592</v>
      </c>
      <c r="Z71" s="47">
        <f t="shared" si="41"/>
        <v>0.97817578544464889</v>
      </c>
      <c r="AA71" s="47">
        <f t="shared" si="41"/>
        <v>1</v>
      </c>
      <c r="AB71" s="47">
        <f t="shared" si="41"/>
        <v>1.0223111376095151</v>
      </c>
      <c r="AC71" s="47">
        <f t="shared" si="41"/>
        <v>1.0451200620804608</v>
      </c>
      <c r="AD71" s="47">
        <f t="shared" si="41"/>
        <v>1.0684378796040028</v>
      </c>
      <c r="AE71" s="47">
        <f t="shared" si="41"/>
        <v>1.0922759441630663</v>
      </c>
      <c r="AF71" s="47">
        <f t="shared" si="41"/>
        <v>1.1166458630608516</v>
      </c>
      <c r="AG71" s="47">
        <f t="shared" si="41"/>
        <v>1.1415595025726979</v>
      </c>
      <c r="AH71" s="47">
        <f t="shared" si="41"/>
        <v>1.1670289937240468</v>
      </c>
      <c r="AI71" s="47">
        <f t="shared" si="41"/>
        <v>1.1930667381973179</v>
      </c>
      <c r="AJ71" s="47">
        <f t="shared" si="41"/>
        <v>1.2196854143705735</v>
      </c>
      <c r="AK71" s="47">
        <f t="shared" si="41"/>
        <v>1.2468979834909137</v>
      </c>
      <c r="AL71" s="47">
        <f t="shared" si="41"/>
        <v>1.2747176959856064</v>
      </c>
      <c r="AM71" s="47">
        <f t="shared" si="41"/>
        <v>1.3031580979140251</v>
      </c>
      <c r="AN71" s="47">
        <f t="shared" si="41"/>
        <v>1.3322330375635392</v>
      </c>
      <c r="AO71" s="47">
        <f t="shared" si="41"/>
        <v>1.3619566721925613</v>
      </c>
      <c r="AP71" s="47">
        <f t="shared" si="41"/>
        <v>1.3923434749240466</v>
      </c>
      <c r="AQ71" s="47">
        <f t="shared" si="41"/>
        <v>1.4234082417927876</v>
      </c>
      <c r="AR71" s="47">
        <f t="shared" si="41"/>
        <v>1.4551660989499444</v>
      </c>
      <c r="AS71" s="47">
        <f t="shared" si="41"/>
        <v>1.4876325100283176</v>
      </c>
      <c r="AT71" s="47">
        <f t="shared" si="41"/>
        <v>1.5208232836719477</v>
      </c>
      <c r="AU71" s="47">
        <f t="shared" si="41"/>
        <v>1.5547545812337071</v>
      </c>
      <c r="AV71" s="47">
        <f t="shared" si="41"/>
        <v>1.5894429246446367</v>
      </c>
      <c r="AW71" s="47">
        <f t="shared" si="41"/>
        <v>1.624905204458853</v>
      </c>
      <c r="AX71" s="47">
        <f t="shared" si="41"/>
        <v>1.6611586880779516</v>
      </c>
      <c r="AY71" s="47">
        <f t="shared" si="41"/>
        <v>1.6982210281589003</v>
      </c>
      <c r="AZ71" s="47">
        <f t="shared" si="41"/>
        <v>1.7361102712095255</v>
      </c>
      <c r="BA71" s="47">
        <f t="shared" si="41"/>
        <v>1.7748448663757739</v>
      </c>
      <c r="BB71" s="47">
        <f t="shared" si="41"/>
        <v>1.814443674425025</v>
      </c>
      <c r="BC71" s="47">
        <f t="shared" si="41"/>
        <v>1.8549259769298359</v>
      </c>
      <c r="BD71" s="47">
        <f t="shared" si="41"/>
        <v>1.8963114856565819</v>
      </c>
      <c r="BE71" s="47">
        <f t="shared" si="41"/>
        <v>1.9386203521635696</v>
      </c>
      <c r="BF71" s="47">
        <f t="shared" si="41"/>
        <v>1.9818731776132974</v>
      </c>
      <c r="BG71" s="47">
        <f t="shared" si="41"/>
        <v>2.0260910228036346</v>
      </c>
      <c r="BH71" s="47">
        <f t="shared" si="41"/>
        <v>2.0712954184228098</v>
      </c>
      <c r="BI71" s="47">
        <f t="shared" si="41"/>
        <v>2.1175083755331991</v>
      </c>
      <c r="BJ71" s="47">
        <f t="shared" si="41"/>
        <v>2.1647523962890207</v>
      </c>
      <c r="BK71" s="47">
        <f t="shared" si="41"/>
        <v>2.2130504848931527</v>
      </c>
      <c r="BL71" s="47">
        <f t="shared" si="41"/>
        <v>2.2624261587984082</v>
      </c>
      <c r="BM71" s="47">
        <f t="shared" si="41"/>
        <v>2.3129034601587257</v>
      </c>
      <c r="BN71" s="47">
        <f t="shared" si="41"/>
        <v>2.3645069675358505</v>
      </c>
      <c r="BO71" s="47">
        <f t="shared" si="41"/>
        <v>2.4172618078672001</v>
      </c>
      <c r="BP71" s="47">
        <f t="shared" si="40"/>
        <v>2.4711936687007503</v>
      </c>
      <c r="BQ71" s="47">
        <f t="shared" si="40"/>
        <v>2.5263288107028949</v>
      </c>
      <c r="BR71" s="47">
        <f t="shared" si="40"/>
        <v>2.58269408044537</v>
      </c>
      <c r="BS71" s="47">
        <f t="shared" si="40"/>
        <v>2.6403169234774664</v>
      </c>
      <c r="BT71" s="47">
        <f t="shared" si="40"/>
        <v>2.6992253976899039</v>
      </c>
      <c r="BU71" s="47">
        <f t="shared" si="40"/>
        <v>2.759448186976861</v>
      </c>
      <c r="BV71" s="47">
        <f t="shared" si="40"/>
        <v>2.8210146152028286</v>
      </c>
      <c r="BW71" s="47">
        <f t="shared" si="40"/>
        <v>2.8839546604810722</v>
      </c>
      <c r="BX71" s="47">
        <f t="shared" si="40"/>
        <v>2.9482989697706681</v>
      </c>
      <c r="BY71" s="47">
        <f t="shared" si="40"/>
        <v>3.0140788737992121</v>
      </c>
    </row>
    <row r="72" spans="1:77" x14ac:dyDescent="0.25">
      <c r="A72" s="116"/>
      <c r="B72" s="46">
        <v>2011</v>
      </c>
      <c r="C72" s="47">
        <f t="shared" si="30"/>
        <v>0.57600027865932324</v>
      </c>
      <c r="D72" s="47">
        <f t="shared" si="41"/>
        <v>0.58885150013961041</v>
      </c>
      <c r="E72" s="47">
        <f t="shared" si="41"/>
        <v>0.6019894469907946</v>
      </c>
      <c r="F72" s="47">
        <f t="shared" si="41"/>
        <v>0.61542051638208206</v>
      </c>
      <c r="G72" s="47">
        <f t="shared" si="41"/>
        <v>0.62915124821080148</v>
      </c>
      <c r="H72" s="47">
        <f t="shared" si="41"/>
        <v>0.64318832828683092</v>
      </c>
      <c r="I72" s="47">
        <f t="shared" si="41"/>
        <v>0.65753859158807237</v>
      </c>
      <c r="J72" s="47">
        <f t="shared" si="41"/>
        <v>0.67220902558856055</v>
      </c>
      <c r="K72" s="47">
        <f t="shared" si="41"/>
        <v>0.68720677366082494</v>
      </c>
      <c r="L72" s="47">
        <f t="shared" si="41"/>
        <v>0.7025391385541625</v>
      </c>
      <c r="M72" s="47">
        <f t="shared" si="41"/>
        <v>0.71821358595051465</v>
      </c>
      <c r="N72" s="47">
        <f t="shared" si="41"/>
        <v>0.73423774809967979</v>
      </c>
      <c r="O72" s="47">
        <f t="shared" si="41"/>
        <v>0.75061942753563204</v>
      </c>
      <c r="P72" s="47">
        <f t="shared" si="41"/>
        <v>0.76736660087575514</v>
      </c>
      <c r="Q72" s="47">
        <f t="shared" si="41"/>
        <v>0.78448742270483995</v>
      </c>
      <c r="R72" s="47">
        <f t="shared" si="41"/>
        <v>0.8019902295457414</v>
      </c>
      <c r="S72" s="47">
        <f t="shared" si="41"/>
        <v>0.81988354391862295</v>
      </c>
      <c r="T72" s="47">
        <f t="shared" si="41"/>
        <v>0.83817607849076825</v>
      </c>
      <c r="U72" s="47">
        <f t="shared" si="41"/>
        <v>0.85687674031897954</v>
      </c>
      <c r="V72" s="47">
        <f t="shared" si="41"/>
        <v>0.8759946351866289</v>
      </c>
      <c r="W72" s="47">
        <f t="shared" si="41"/>
        <v>0.89553907203747463</v>
      </c>
      <c r="X72" s="47">
        <f t="shared" si="41"/>
        <v>0.91551956750840024</v>
      </c>
      <c r="Y72" s="47">
        <f t="shared" si="41"/>
        <v>0.93594585056328394</v>
      </c>
      <c r="Z72" s="47">
        <f t="shared" si="41"/>
        <v>0.95682786723025592</v>
      </c>
      <c r="AA72" s="47">
        <f t="shared" si="41"/>
        <v>0.97817578544464889</v>
      </c>
      <c r="AB72" s="47">
        <f t="shared" si="41"/>
        <v>1</v>
      </c>
      <c r="AC72" s="47">
        <f t="shared" si="41"/>
        <v>1.0223111376095151</v>
      </c>
      <c r="AD72" s="47">
        <f t="shared" si="41"/>
        <v>1.0451200620804608</v>
      </c>
      <c r="AE72" s="47">
        <f t="shared" si="41"/>
        <v>1.0684378796040028</v>
      </c>
      <c r="AF72" s="47">
        <f t="shared" si="41"/>
        <v>1.0922759441630663</v>
      </c>
      <c r="AG72" s="47">
        <f t="shared" si="41"/>
        <v>1.1166458630608516</v>
      </c>
      <c r="AH72" s="47">
        <f t="shared" si="41"/>
        <v>1.1415595025726979</v>
      </c>
      <c r="AI72" s="47">
        <f t="shared" si="41"/>
        <v>1.1670289937240468</v>
      </c>
      <c r="AJ72" s="47">
        <f t="shared" si="41"/>
        <v>1.1930667381973179</v>
      </c>
      <c r="AK72" s="47">
        <f t="shared" si="41"/>
        <v>1.2196854143705735</v>
      </c>
      <c r="AL72" s="47">
        <f t="shared" si="41"/>
        <v>1.2468979834909137</v>
      </c>
      <c r="AM72" s="47">
        <f t="shared" si="41"/>
        <v>1.2747176959856064</v>
      </c>
      <c r="AN72" s="47">
        <f t="shared" si="41"/>
        <v>1.3031580979140251</v>
      </c>
      <c r="AO72" s="47">
        <f t="shared" si="41"/>
        <v>1.3322330375635392</v>
      </c>
      <c r="AP72" s="47">
        <f t="shared" si="41"/>
        <v>1.3619566721925613</v>
      </c>
      <c r="AQ72" s="47">
        <f t="shared" si="41"/>
        <v>1.3923434749240466</v>
      </c>
      <c r="AR72" s="47">
        <f t="shared" si="41"/>
        <v>1.4234082417927876</v>
      </c>
      <c r="AS72" s="47">
        <f t="shared" si="41"/>
        <v>1.4551660989499444</v>
      </c>
      <c r="AT72" s="47">
        <f t="shared" si="41"/>
        <v>1.4876325100283176</v>
      </c>
      <c r="AU72" s="47">
        <f t="shared" si="41"/>
        <v>1.5208232836719477</v>
      </c>
      <c r="AV72" s="47">
        <f t="shared" si="41"/>
        <v>1.5547545812337071</v>
      </c>
      <c r="AW72" s="47">
        <f t="shared" si="41"/>
        <v>1.5894429246446367</v>
      </c>
      <c r="AX72" s="47">
        <f t="shared" si="41"/>
        <v>1.624905204458853</v>
      </c>
      <c r="AY72" s="47">
        <f t="shared" si="41"/>
        <v>1.6611586880779516</v>
      </c>
      <c r="AZ72" s="47">
        <f t="shared" si="41"/>
        <v>1.6982210281589003</v>
      </c>
      <c r="BA72" s="47">
        <f t="shared" si="41"/>
        <v>1.7361102712095255</v>
      </c>
      <c r="BB72" s="47">
        <f t="shared" si="41"/>
        <v>1.7748448663757739</v>
      </c>
      <c r="BC72" s="47">
        <f t="shared" si="41"/>
        <v>1.814443674425025</v>
      </c>
      <c r="BD72" s="47">
        <f t="shared" si="41"/>
        <v>1.8549259769298359</v>
      </c>
      <c r="BE72" s="47">
        <f t="shared" si="41"/>
        <v>1.8963114856565819</v>
      </c>
      <c r="BF72" s="47">
        <f t="shared" si="41"/>
        <v>1.9386203521635696</v>
      </c>
      <c r="BG72" s="47">
        <f t="shared" si="41"/>
        <v>1.9818731776132974</v>
      </c>
      <c r="BH72" s="47">
        <f t="shared" si="41"/>
        <v>2.0260910228036346</v>
      </c>
      <c r="BI72" s="47">
        <f t="shared" si="41"/>
        <v>2.0712954184228098</v>
      </c>
      <c r="BJ72" s="47">
        <f t="shared" si="41"/>
        <v>2.1175083755331991</v>
      </c>
      <c r="BK72" s="47">
        <f t="shared" si="41"/>
        <v>2.1647523962890207</v>
      </c>
      <c r="BL72" s="47">
        <f t="shared" si="41"/>
        <v>2.2130504848931527</v>
      </c>
      <c r="BM72" s="47">
        <f t="shared" si="41"/>
        <v>2.2624261587984082</v>
      </c>
      <c r="BN72" s="47">
        <f t="shared" si="41"/>
        <v>2.3129034601587257</v>
      </c>
      <c r="BO72" s="47">
        <f t="shared" ref="BO72:BY75" si="42">(1+$F$44)^(BO$46-$B72)</f>
        <v>2.3645069675358505</v>
      </c>
      <c r="BP72" s="47">
        <f t="shared" si="42"/>
        <v>2.4172618078672001</v>
      </c>
      <c r="BQ72" s="47">
        <f t="shared" si="42"/>
        <v>2.4711936687007503</v>
      </c>
      <c r="BR72" s="47">
        <f t="shared" si="42"/>
        <v>2.5263288107028949</v>
      </c>
      <c r="BS72" s="47">
        <f t="shared" si="42"/>
        <v>2.58269408044537</v>
      </c>
      <c r="BT72" s="47">
        <f t="shared" si="42"/>
        <v>2.6403169234774664</v>
      </c>
      <c r="BU72" s="47">
        <f t="shared" si="42"/>
        <v>2.6992253976899039</v>
      </c>
      <c r="BV72" s="47">
        <f t="shared" si="42"/>
        <v>2.759448186976861</v>
      </c>
      <c r="BW72" s="47">
        <f t="shared" si="42"/>
        <v>2.8210146152028286</v>
      </c>
      <c r="BX72" s="47">
        <f t="shared" si="42"/>
        <v>2.8839546604810722</v>
      </c>
      <c r="BY72" s="47">
        <f t="shared" si="42"/>
        <v>2.9482989697706681</v>
      </c>
    </row>
    <row r="73" spans="1:77" x14ac:dyDescent="0.25">
      <c r="A73" s="116"/>
      <c r="B73" s="46">
        <v>2012</v>
      </c>
      <c r="C73" s="47">
        <f t="shared" si="30"/>
        <v>0.56342952499392018</v>
      </c>
      <c r="D73" s="47">
        <f t="shared" ref="D73:BO76" si="43">(1+$F$44)^(D$46-$B73)</f>
        <v>0.57600027865932324</v>
      </c>
      <c r="E73" s="47">
        <f t="shared" si="43"/>
        <v>0.58885150013961041</v>
      </c>
      <c r="F73" s="47">
        <f t="shared" si="43"/>
        <v>0.6019894469907946</v>
      </c>
      <c r="G73" s="47">
        <f t="shared" si="43"/>
        <v>0.61542051638208206</v>
      </c>
      <c r="H73" s="47">
        <f t="shared" si="43"/>
        <v>0.62915124821080148</v>
      </c>
      <c r="I73" s="47">
        <f t="shared" si="43"/>
        <v>0.64318832828683092</v>
      </c>
      <c r="J73" s="47">
        <f t="shared" si="43"/>
        <v>0.65753859158807237</v>
      </c>
      <c r="K73" s="47">
        <f t="shared" si="43"/>
        <v>0.67220902558856055</v>
      </c>
      <c r="L73" s="47">
        <f t="shared" si="43"/>
        <v>0.68720677366082494</v>
      </c>
      <c r="M73" s="47">
        <f t="shared" si="43"/>
        <v>0.7025391385541625</v>
      </c>
      <c r="N73" s="47">
        <f t="shared" si="43"/>
        <v>0.71821358595051465</v>
      </c>
      <c r="O73" s="47">
        <f t="shared" si="43"/>
        <v>0.73423774809967979</v>
      </c>
      <c r="P73" s="47">
        <f t="shared" si="43"/>
        <v>0.75061942753563204</v>
      </c>
      <c r="Q73" s="47">
        <f t="shared" si="43"/>
        <v>0.76736660087575514</v>
      </c>
      <c r="R73" s="47">
        <f t="shared" si="43"/>
        <v>0.78448742270483995</v>
      </c>
      <c r="S73" s="47">
        <f t="shared" si="43"/>
        <v>0.8019902295457414</v>
      </c>
      <c r="T73" s="47">
        <f t="shared" si="43"/>
        <v>0.81988354391862295</v>
      </c>
      <c r="U73" s="47">
        <f t="shared" si="43"/>
        <v>0.83817607849076825</v>
      </c>
      <c r="V73" s="47">
        <f t="shared" si="43"/>
        <v>0.85687674031897954</v>
      </c>
      <c r="W73" s="47">
        <f t="shared" si="43"/>
        <v>0.8759946351866289</v>
      </c>
      <c r="X73" s="47">
        <f t="shared" si="43"/>
        <v>0.89553907203747463</v>
      </c>
      <c r="Y73" s="47">
        <f t="shared" si="43"/>
        <v>0.91551956750840024</v>
      </c>
      <c r="Z73" s="47">
        <f t="shared" si="43"/>
        <v>0.93594585056328394</v>
      </c>
      <c r="AA73" s="47">
        <f t="shared" si="43"/>
        <v>0.95682786723025592</v>
      </c>
      <c r="AB73" s="47">
        <f t="shared" si="43"/>
        <v>0.97817578544464889</v>
      </c>
      <c r="AC73" s="47">
        <f t="shared" si="43"/>
        <v>1</v>
      </c>
      <c r="AD73" s="47">
        <f t="shared" si="43"/>
        <v>1.0223111376095151</v>
      </c>
      <c r="AE73" s="47">
        <f t="shared" si="43"/>
        <v>1.0451200620804608</v>
      </c>
      <c r="AF73" s="47">
        <f t="shared" si="43"/>
        <v>1.0684378796040028</v>
      </c>
      <c r="AG73" s="47">
        <f t="shared" si="43"/>
        <v>1.0922759441630663</v>
      </c>
      <c r="AH73" s="47">
        <f t="shared" si="43"/>
        <v>1.1166458630608516</v>
      </c>
      <c r="AI73" s="47">
        <f t="shared" si="43"/>
        <v>1.1415595025726979</v>
      </c>
      <c r="AJ73" s="47">
        <f t="shared" si="43"/>
        <v>1.1670289937240468</v>
      </c>
      <c r="AK73" s="47">
        <f t="shared" si="43"/>
        <v>1.1930667381973179</v>
      </c>
      <c r="AL73" s="47">
        <f t="shared" si="43"/>
        <v>1.2196854143705735</v>
      </c>
      <c r="AM73" s="47">
        <f t="shared" si="43"/>
        <v>1.2468979834909137</v>
      </c>
      <c r="AN73" s="47">
        <f t="shared" si="43"/>
        <v>1.2747176959856064</v>
      </c>
      <c r="AO73" s="47">
        <f t="shared" si="43"/>
        <v>1.3031580979140251</v>
      </c>
      <c r="AP73" s="47">
        <f t="shared" si="43"/>
        <v>1.3322330375635392</v>
      </c>
      <c r="AQ73" s="47">
        <f t="shared" si="43"/>
        <v>1.3619566721925613</v>
      </c>
      <c r="AR73" s="47">
        <f t="shared" si="43"/>
        <v>1.3923434749240466</v>
      </c>
      <c r="AS73" s="47">
        <f t="shared" si="43"/>
        <v>1.4234082417927876</v>
      </c>
      <c r="AT73" s="47">
        <f t="shared" si="43"/>
        <v>1.4551660989499444</v>
      </c>
      <c r="AU73" s="47">
        <f t="shared" si="43"/>
        <v>1.4876325100283176</v>
      </c>
      <c r="AV73" s="47">
        <f t="shared" si="43"/>
        <v>1.5208232836719477</v>
      </c>
      <c r="AW73" s="47">
        <f t="shared" si="43"/>
        <v>1.5547545812337071</v>
      </c>
      <c r="AX73" s="47">
        <f t="shared" si="43"/>
        <v>1.5894429246446367</v>
      </c>
      <c r="AY73" s="47">
        <f t="shared" si="43"/>
        <v>1.624905204458853</v>
      </c>
      <c r="AZ73" s="47">
        <f t="shared" si="43"/>
        <v>1.6611586880779516</v>
      </c>
      <c r="BA73" s="47">
        <f t="shared" si="43"/>
        <v>1.6982210281589003</v>
      </c>
      <c r="BB73" s="47">
        <f t="shared" si="43"/>
        <v>1.7361102712095255</v>
      </c>
      <c r="BC73" s="47">
        <f t="shared" si="43"/>
        <v>1.7748448663757739</v>
      </c>
      <c r="BD73" s="47">
        <f t="shared" si="43"/>
        <v>1.814443674425025</v>
      </c>
      <c r="BE73" s="47">
        <f t="shared" si="43"/>
        <v>1.8549259769298359</v>
      </c>
      <c r="BF73" s="47">
        <f t="shared" si="43"/>
        <v>1.8963114856565819</v>
      </c>
      <c r="BG73" s="47">
        <f t="shared" si="43"/>
        <v>1.9386203521635696</v>
      </c>
      <c r="BH73" s="47">
        <f t="shared" si="43"/>
        <v>1.9818731776132974</v>
      </c>
      <c r="BI73" s="47">
        <f t="shared" si="43"/>
        <v>2.0260910228036346</v>
      </c>
      <c r="BJ73" s="47">
        <f t="shared" si="43"/>
        <v>2.0712954184228098</v>
      </c>
      <c r="BK73" s="47">
        <f t="shared" si="43"/>
        <v>2.1175083755331991</v>
      </c>
      <c r="BL73" s="47">
        <f t="shared" si="43"/>
        <v>2.1647523962890207</v>
      </c>
      <c r="BM73" s="47">
        <f t="shared" si="43"/>
        <v>2.2130504848931527</v>
      </c>
      <c r="BN73" s="47">
        <f t="shared" si="43"/>
        <v>2.2624261587984082</v>
      </c>
      <c r="BO73" s="47">
        <f t="shared" si="43"/>
        <v>2.3129034601587257</v>
      </c>
      <c r="BP73" s="47">
        <f t="shared" si="42"/>
        <v>2.3645069675358505</v>
      </c>
      <c r="BQ73" s="47">
        <f t="shared" si="42"/>
        <v>2.4172618078672001</v>
      </c>
      <c r="BR73" s="47">
        <f t="shared" si="42"/>
        <v>2.4711936687007503</v>
      </c>
      <c r="BS73" s="47">
        <f t="shared" si="42"/>
        <v>2.5263288107028949</v>
      </c>
      <c r="BT73" s="47">
        <f t="shared" si="42"/>
        <v>2.58269408044537</v>
      </c>
      <c r="BU73" s="47">
        <f t="shared" si="42"/>
        <v>2.6403169234774664</v>
      </c>
      <c r="BV73" s="47">
        <f t="shared" si="42"/>
        <v>2.6992253976899039</v>
      </c>
      <c r="BW73" s="47">
        <f t="shared" si="42"/>
        <v>2.759448186976861</v>
      </c>
      <c r="BX73" s="47">
        <f t="shared" si="42"/>
        <v>2.8210146152028286</v>
      </c>
      <c r="BY73" s="47">
        <f t="shared" si="42"/>
        <v>2.8839546604810722</v>
      </c>
    </row>
    <row r="74" spans="1:77" x14ac:dyDescent="0.25">
      <c r="A74" s="116"/>
      <c r="B74" s="46">
        <v>2013</v>
      </c>
      <c r="C74" s="47">
        <f t="shared" si="30"/>
        <v>0.55113311815363342</v>
      </c>
      <c r="D74" s="47">
        <f t="shared" si="43"/>
        <v>0.56342952499392018</v>
      </c>
      <c r="E74" s="47">
        <f t="shared" si="43"/>
        <v>0.57600027865932324</v>
      </c>
      <c r="F74" s="47">
        <f t="shared" si="43"/>
        <v>0.58885150013961041</v>
      </c>
      <c r="G74" s="47">
        <f t="shared" si="43"/>
        <v>0.6019894469907946</v>
      </c>
      <c r="H74" s="47">
        <f t="shared" si="43"/>
        <v>0.61542051638208206</v>
      </c>
      <c r="I74" s="47">
        <f t="shared" si="43"/>
        <v>0.62915124821080148</v>
      </c>
      <c r="J74" s="47">
        <f t="shared" si="43"/>
        <v>0.64318832828683092</v>
      </c>
      <c r="K74" s="47">
        <f t="shared" si="43"/>
        <v>0.65753859158807237</v>
      </c>
      <c r="L74" s="47">
        <f t="shared" si="43"/>
        <v>0.67220902558856055</v>
      </c>
      <c r="M74" s="47">
        <f t="shared" si="43"/>
        <v>0.68720677366082494</v>
      </c>
      <c r="N74" s="47">
        <f t="shared" si="43"/>
        <v>0.7025391385541625</v>
      </c>
      <c r="O74" s="47">
        <f t="shared" si="43"/>
        <v>0.71821358595051465</v>
      </c>
      <c r="P74" s="47">
        <f t="shared" si="43"/>
        <v>0.73423774809967979</v>
      </c>
      <c r="Q74" s="47">
        <f t="shared" si="43"/>
        <v>0.75061942753563204</v>
      </c>
      <c r="R74" s="47">
        <f t="shared" si="43"/>
        <v>0.76736660087575514</v>
      </c>
      <c r="S74" s="47">
        <f t="shared" si="43"/>
        <v>0.78448742270483995</v>
      </c>
      <c r="T74" s="47">
        <f t="shared" si="43"/>
        <v>0.8019902295457414</v>
      </c>
      <c r="U74" s="47">
        <f t="shared" si="43"/>
        <v>0.81988354391862295</v>
      </c>
      <c r="V74" s="47">
        <f t="shared" si="43"/>
        <v>0.83817607849076825</v>
      </c>
      <c r="W74" s="47">
        <f t="shared" si="43"/>
        <v>0.85687674031897954</v>
      </c>
      <c r="X74" s="47">
        <f t="shared" si="43"/>
        <v>0.8759946351866289</v>
      </c>
      <c r="Y74" s="47">
        <f t="shared" si="43"/>
        <v>0.89553907203747463</v>
      </c>
      <c r="Z74" s="47">
        <f t="shared" si="43"/>
        <v>0.91551956750840024</v>
      </c>
      <c r="AA74" s="47">
        <f t="shared" si="43"/>
        <v>0.93594585056328394</v>
      </c>
      <c r="AB74" s="47">
        <f t="shared" si="43"/>
        <v>0.95682786723025592</v>
      </c>
      <c r="AC74" s="47">
        <f t="shared" si="43"/>
        <v>0.97817578544464889</v>
      </c>
      <c r="AD74" s="47">
        <f t="shared" si="43"/>
        <v>1</v>
      </c>
      <c r="AE74" s="47">
        <f t="shared" si="43"/>
        <v>1.0223111376095151</v>
      </c>
      <c r="AF74" s="47">
        <f t="shared" si="43"/>
        <v>1.0451200620804608</v>
      </c>
      <c r="AG74" s="47">
        <f t="shared" si="43"/>
        <v>1.0684378796040028</v>
      </c>
      <c r="AH74" s="47">
        <f t="shared" si="43"/>
        <v>1.0922759441630663</v>
      </c>
      <c r="AI74" s="47">
        <f t="shared" si="43"/>
        <v>1.1166458630608516</v>
      </c>
      <c r="AJ74" s="47">
        <f t="shared" si="43"/>
        <v>1.1415595025726979</v>
      </c>
      <c r="AK74" s="47">
        <f t="shared" si="43"/>
        <v>1.1670289937240468</v>
      </c>
      <c r="AL74" s="47">
        <f t="shared" si="43"/>
        <v>1.1930667381973179</v>
      </c>
      <c r="AM74" s="47">
        <f t="shared" si="43"/>
        <v>1.2196854143705735</v>
      </c>
      <c r="AN74" s="47">
        <f t="shared" si="43"/>
        <v>1.2468979834909137</v>
      </c>
      <c r="AO74" s="47">
        <f t="shared" si="43"/>
        <v>1.2747176959856064</v>
      </c>
      <c r="AP74" s="47">
        <f t="shared" si="43"/>
        <v>1.3031580979140251</v>
      </c>
      <c r="AQ74" s="47">
        <f t="shared" si="43"/>
        <v>1.3322330375635392</v>
      </c>
      <c r="AR74" s="47">
        <f t="shared" si="43"/>
        <v>1.3619566721925613</v>
      </c>
      <c r="AS74" s="47">
        <f t="shared" si="43"/>
        <v>1.3923434749240466</v>
      </c>
      <c r="AT74" s="47">
        <f t="shared" si="43"/>
        <v>1.4234082417927876</v>
      </c>
      <c r="AU74" s="47">
        <f t="shared" si="43"/>
        <v>1.4551660989499444</v>
      </c>
      <c r="AV74" s="47">
        <f t="shared" si="43"/>
        <v>1.4876325100283176</v>
      </c>
      <c r="AW74" s="47">
        <f t="shared" si="43"/>
        <v>1.5208232836719477</v>
      </c>
      <c r="AX74" s="47">
        <f t="shared" si="43"/>
        <v>1.5547545812337071</v>
      </c>
      <c r="AY74" s="47">
        <f t="shared" si="43"/>
        <v>1.5894429246446367</v>
      </c>
      <c r="AZ74" s="47">
        <f t="shared" si="43"/>
        <v>1.624905204458853</v>
      </c>
      <c r="BA74" s="47">
        <f t="shared" si="43"/>
        <v>1.6611586880779516</v>
      </c>
      <c r="BB74" s="47">
        <f t="shared" si="43"/>
        <v>1.6982210281589003</v>
      </c>
      <c r="BC74" s="47">
        <f t="shared" si="43"/>
        <v>1.7361102712095255</v>
      </c>
      <c r="BD74" s="47">
        <f t="shared" si="43"/>
        <v>1.7748448663757739</v>
      </c>
      <c r="BE74" s="47">
        <f t="shared" si="43"/>
        <v>1.814443674425025</v>
      </c>
      <c r="BF74" s="47">
        <f t="shared" si="43"/>
        <v>1.8549259769298359</v>
      </c>
      <c r="BG74" s="47">
        <f t="shared" si="43"/>
        <v>1.8963114856565819</v>
      </c>
      <c r="BH74" s="47">
        <f t="shared" si="43"/>
        <v>1.9386203521635696</v>
      </c>
      <c r="BI74" s="47">
        <f t="shared" si="43"/>
        <v>1.9818731776132974</v>
      </c>
      <c r="BJ74" s="47">
        <f t="shared" si="43"/>
        <v>2.0260910228036346</v>
      </c>
      <c r="BK74" s="47">
        <f t="shared" si="43"/>
        <v>2.0712954184228098</v>
      </c>
      <c r="BL74" s="47">
        <f t="shared" si="43"/>
        <v>2.1175083755331991</v>
      </c>
      <c r="BM74" s="47">
        <f t="shared" si="43"/>
        <v>2.1647523962890207</v>
      </c>
      <c r="BN74" s="47">
        <f t="shared" si="43"/>
        <v>2.2130504848931527</v>
      </c>
      <c r="BO74" s="47">
        <f t="shared" si="43"/>
        <v>2.2624261587984082</v>
      </c>
      <c r="BP74" s="47">
        <f t="shared" si="42"/>
        <v>2.3129034601587257</v>
      </c>
      <c r="BQ74" s="47">
        <f t="shared" si="42"/>
        <v>2.3645069675358505</v>
      </c>
      <c r="BR74" s="47">
        <f t="shared" si="42"/>
        <v>2.4172618078672001</v>
      </c>
      <c r="BS74" s="47">
        <f t="shared" si="42"/>
        <v>2.4711936687007503</v>
      </c>
      <c r="BT74" s="47">
        <f t="shared" si="42"/>
        <v>2.5263288107028949</v>
      </c>
      <c r="BU74" s="47">
        <f t="shared" si="42"/>
        <v>2.58269408044537</v>
      </c>
      <c r="BV74" s="47">
        <f t="shared" si="42"/>
        <v>2.6403169234774664</v>
      </c>
      <c r="BW74" s="47">
        <f t="shared" si="42"/>
        <v>2.6992253976899039</v>
      </c>
      <c r="BX74" s="47">
        <f t="shared" si="42"/>
        <v>2.759448186976861</v>
      </c>
      <c r="BY74" s="47">
        <f t="shared" si="42"/>
        <v>2.8210146152028286</v>
      </c>
    </row>
    <row r="75" spans="1:77" x14ac:dyDescent="0.25">
      <c r="A75" s="116"/>
      <c r="B75" s="46">
        <v>2014</v>
      </c>
      <c r="C75" s="47">
        <f t="shared" si="30"/>
        <v>0.53910507073448888</v>
      </c>
      <c r="D75" s="47">
        <f t="shared" si="43"/>
        <v>0.55113311815363342</v>
      </c>
      <c r="E75" s="47">
        <f t="shared" si="43"/>
        <v>0.56342952499392018</v>
      </c>
      <c r="F75" s="47">
        <f t="shared" si="43"/>
        <v>0.57600027865932324</v>
      </c>
      <c r="G75" s="47">
        <f t="shared" si="43"/>
        <v>0.58885150013961041</v>
      </c>
      <c r="H75" s="47">
        <f t="shared" si="43"/>
        <v>0.6019894469907946</v>
      </c>
      <c r="I75" s="47">
        <f t="shared" si="43"/>
        <v>0.61542051638208206</v>
      </c>
      <c r="J75" s="47">
        <f t="shared" si="43"/>
        <v>0.62915124821080148</v>
      </c>
      <c r="K75" s="47">
        <f t="shared" si="43"/>
        <v>0.64318832828683092</v>
      </c>
      <c r="L75" s="47">
        <f t="shared" si="43"/>
        <v>0.65753859158807237</v>
      </c>
      <c r="M75" s="47">
        <f t="shared" si="43"/>
        <v>0.67220902558856055</v>
      </c>
      <c r="N75" s="47">
        <f t="shared" si="43"/>
        <v>0.68720677366082494</v>
      </c>
      <c r="O75" s="47">
        <f t="shared" si="43"/>
        <v>0.7025391385541625</v>
      </c>
      <c r="P75" s="47">
        <f t="shared" si="43"/>
        <v>0.71821358595051465</v>
      </c>
      <c r="Q75" s="47">
        <f t="shared" si="43"/>
        <v>0.73423774809967979</v>
      </c>
      <c r="R75" s="47">
        <f t="shared" si="43"/>
        <v>0.75061942753563204</v>
      </c>
      <c r="S75" s="47">
        <f t="shared" si="43"/>
        <v>0.76736660087575514</v>
      </c>
      <c r="T75" s="47">
        <f t="shared" si="43"/>
        <v>0.78448742270483995</v>
      </c>
      <c r="U75" s="47">
        <f t="shared" si="43"/>
        <v>0.8019902295457414</v>
      </c>
      <c r="V75" s="47">
        <f t="shared" si="43"/>
        <v>0.81988354391862295</v>
      </c>
      <c r="W75" s="47">
        <f t="shared" si="43"/>
        <v>0.83817607849076825</v>
      </c>
      <c r="X75" s="47">
        <f t="shared" si="43"/>
        <v>0.85687674031897954</v>
      </c>
      <c r="Y75" s="47">
        <f t="shared" si="43"/>
        <v>0.8759946351866289</v>
      </c>
      <c r="Z75" s="47">
        <f t="shared" si="43"/>
        <v>0.89553907203747463</v>
      </c>
      <c r="AA75" s="47">
        <f t="shared" si="43"/>
        <v>0.91551956750840024</v>
      </c>
      <c r="AB75" s="47">
        <f t="shared" si="43"/>
        <v>0.93594585056328394</v>
      </c>
      <c r="AC75" s="47">
        <f t="shared" si="43"/>
        <v>0.95682786723025592</v>
      </c>
      <c r="AD75" s="47">
        <f t="shared" si="43"/>
        <v>0.97817578544464889</v>
      </c>
      <c r="AE75" s="47">
        <f t="shared" si="43"/>
        <v>1</v>
      </c>
      <c r="AF75" s="47">
        <f t="shared" si="43"/>
        <v>1.0223111376095151</v>
      </c>
      <c r="AG75" s="47">
        <f t="shared" si="43"/>
        <v>1.0451200620804608</v>
      </c>
      <c r="AH75" s="47">
        <f t="shared" si="43"/>
        <v>1.0684378796040028</v>
      </c>
      <c r="AI75" s="47">
        <f t="shared" si="43"/>
        <v>1.0922759441630663</v>
      </c>
      <c r="AJ75" s="47">
        <f t="shared" si="43"/>
        <v>1.1166458630608516</v>
      </c>
      <c r="AK75" s="47">
        <f t="shared" si="43"/>
        <v>1.1415595025726979</v>
      </c>
      <c r="AL75" s="47">
        <f t="shared" si="43"/>
        <v>1.1670289937240468</v>
      </c>
      <c r="AM75" s="47">
        <f t="shared" si="43"/>
        <v>1.1930667381973179</v>
      </c>
      <c r="AN75" s="47">
        <f t="shared" si="43"/>
        <v>1.2196854143705735</v>
      </c>
      <c r="AO75" s="47">
        <f t="shared" si="43"/>
        <v>1.2468979834909137</v>
      </c>
      <c r="AP75" s="47">
        <f t="shared" si="43"/>
        <v>1.2747176959856064</v>
      </c>
      <c r="AQ75" s="47">
        <f t="shared" si="43"/>
        <v>1.3031580979140251</v>
      </c>
      <c r="AR75" s="47">
        <f t="shared" si="43"/>
        <v>1.3322330375635392</v>
      </c>
      <c r="AS75" s="47">
        <f t="shared" si="43"/>
        <v>1.3619566721925613</v>
      </c>
      <c r="AT75" s="47">
        <f t="shared" si="43"/>
        <v>1.3923434749240466</v>
      </c>
      <c r="AU75" s="47">
        <f t="shared" si="43"/>
        <v>1.4234082417927876</v>
      </c>
      <c r="AV75" s="47">
        <f t="shared" si="43"/>
        <v>1.4551660989499444</v>
      </c>
      <c r="AW75" s="47">
        <f t="shared" si="43"/>
        <v>1.4876325100283176</v>
      </c>
      <c r="AX75" s="47">
        <f t="shared" si="43"/>
        <v>1.5208232836719477</v>
      </c>
      <c r="AY75" s="47">
        <f t="shared" si="43"/>
        <v>1.5547545812337071</v>
      </c>
      <c r="AZ75" s="47">
        <f t="shared" si="43"/>
        <v>1.5894429246446367</v>
      </c>
      <c r="BA75" s="47">
        <f t="shared" si="43"/>
        <v>1.624905204458853</v>
      </c>
      <c r="BB75" s="47">
        <f t="shared" si="43"/>
        <v>1.6611586880779516</v>
      </c>
      <c r="BC75" s="47">
        <f t="shared" si="43"/>
        <v>1.6982210281589003</v>
      </c>
      <c r="BD75" s="47">
        <f t="shared" si="43"/>
        <v>1.7361102712095255</v>
      </c>
      <c r="BE75" s="47">
        <f t="shared" si="43"/>
        <v>1.7748448663757739</v>
      </c>
      <c r="BF75" s="47">
        <f t="shared" si="43"/>
        <v>1.814443674425025</v>
      </c>
      <c r="BG75" s="47">
        <f t="shared" si="43"/>
        <v>1.8549259769298359</v>
      </c>
      <c r="BH75" s="47">
        <f t="shared" si="43"/>
        <v>1.8963114856565819</v>
      </c>
      <c r="BI75" s="47">
        <f t="shared" si="43"/>
        <v>1.9386203521635696</v>
      </c>
      <c r="BJ75" s="47">
        <f t="shared" si="43"/>
        <v>1.9818731776132974</v>
      </c>
      <c r="BK75" s="47">
        <f t="shared" si="43"/>
        <v>2.0260910228036346</v>
      </c>
      <c r="BL75" s="47">
        <f t="shared" si="43"/>
        <v>2.0712954184228098</v>
      </c>
      <c r="BM75" s="47">
        <f t="shared" si="43"/>
        <v>2.1175083755331991</v>
      </c>
      <c r="BN75" s="47">
        <f t="shared" si="43"/>
        <v>2.1647523962890207</v>
      </c>
      <c r="BO75" s="47">
        <f t="shared" si="43"/>
        <v>2.2130504848931527</v>
      </c>
      <c r="BP75" s="47">
        <f t="shared" si="42"/>
        <v>2.2624261587984082</v>
      </c>
      <c r="BQ75" s="47">
        <f t="shared" si="42"/>
        <v>2.3129034601587257</v>
      </c>
      <c r="BR75" s="47">
        <f t="shared" si="42"/>
        <v>2.3645069675358505</v>
      </c>
      <c r="BS75" s="47">
        <f t="shared" si="42"/>
        <v>2.4172618078672001</v>
      </c>
      <c r="BT75" s="47">
        <f t="shared" si="42"/>
        <v>2.4711936687007503</v>
      </c>
      <c r="BU75" s="47">
        <f t="shared" si="42"/>
        <v>2.5263288107028949</v>
      </c>
      <c r="BV75" s="47">
        <f t="shared" si="42"/>
        <v>2.58269408044537</v>
      </c>
      <c r="BW75" s="47">
        <f t="shared" si="42"/>
        <v>2.6403169234774664</v>
      </c>
      <c r="BX75" s="47">
        <f t="shared" si="42"/>
        <v>2.6992253976899039</v>
      </c>
      <c r="BY75" s="47">
        <f t="shared" si="42"/>
        <v>2.759448186976861</v>
      </c>
    </row>
    <row r="76" spans="1:77" x14ac:dyDescent="0.25">
      <c r="A76" s="116"/>
      <c r="B76" s="46">
        <v>2015</v>
      </c>
      <c r="C76" s="47">
        <f t="shared" si="30"/>
        <v>0.52733952600290157</v>
      </c>
      <c r="D76" s="47">
        <f t="shared" si="43"/>
        <v>0.53910507073448888</v>
      </c>
      <c r="E76" s="47">
        <f t="shared" si="43"/>
        <v>0.55113311815363342</v>
      </c>
      <c r="F76" s="47">
        <f t="shared" si="43"/>
        <v>0.56342952499392018</v>
      </c>
      <c r="G76" s="47">
        <f t="shared" si="43"/>
        <v>0.57600027865932324</v>
      </c>
      <c r="H76" s="47">
        <f t="shared" si="43"/>
        <v>0.58885150013961041</v>
      </c>
      <c r="I76" s="47">
        <f t="shared" si="43"/>
        <v>0.6019894469907946</v>
      </c>
      <c r="J76" s="47">
        <f t="shared" si="43"/>
        <v>0.61542051638208206</v>
      </c>
      <c r="K76" s="47">
        <f t="shared" si="43"/>
        <v>0.62915124821080148</v>
      </c>
      <c r="L76" s="47">
        <f t="shared" si="43"/>
        <v>0.64318832828683092</v>
      </c>
      <c r="M76" s="47">
        <f t="shared" si="43"/>
        <v>0.65753859158807237</v>
      </c>
      <c r="N76" s="47">
        <f t="shared" si="43"/>
        <v>0.67220902558856055</v>
      </c>
      <c r="O76" s="47">
        <f t="shared" si="43"/>
        <v>0.68720677366082494</v>
      </c>
      <c r="P76" s="47">
        <f t="shared" si="43"/>
        <v>0.7025391385541625</v>
      </c>
      <c r="Q76" s="47">
        <f t="shared" si="43"/>
        <v>0.71821358595051465</v>
      </c>
      <c r="R76" s="47">
        <f t="shared" si="43"/>
        <v>0.73423774809967979</v>
      </c>
      <c r="S76" s="47">
        <f t="shared" si="43"/>
        <v>0.75061942753563204</v>
      </c>
      <c r="T76" s="47">
        <f t="shared" si="43"/>
        <v>0.76736660087575514</v>
      </c>
      <c r="U76" s="47">
        <f t="shared" si="43"/>
        <v>0.78448742270483995</v>
      </c>
      <c r="V76" s="47">
        <f t="shared" si="43"/>
        <v>0.8019902295457414</v>
      </c>
      <c r="W76" s="47">
        <f t="shared" si="43"/>
        <v>0.81988354391862295</v>
      </c>
      <c r="X76" s="47">
        <f t="shared" si="43"/>
        <v>0.83817607849076825</v>
      </c>
      <c r="Y76" s="47">
        <f t="shared" si="43"/>
        <v>0.85687674031897954</v>
      </c>
      <c r="Z76" s="47">
        <f t="shared" si="43"/>
        <v>0.8759946351866289</v>
      </c>
      <c r="AA76" s="47">
        <f t="shared" si="43"/>
        <v>0.89553907203747463</v>
      </c>
      <c r="AB76" s="47">
        <f t="shared" si="43"/>
        <v>0.91551956750840024</v>
      </c>
      <c r="AC76" s="47">
        <f t="shared" si="43"/>
        <v>0.93594585056328394</v>
      </c>
      <c r="AD76" s="47">
        <f t="shared" si="43"/>
        <v>0.95682786723025592</v>
      </c>
      <c r="AE76" s="47">
        <f t="shared" si="43"/>
        <v>0.97817578544464889</v>
      </c>
      <c r="AF76" s="47">
        <f t="shared" si="43"/>
        <v>1</v>
      </c>
      <c r="AG76" s="47">
        <f t="shared" si="43"/>
        <v>1.0223111376095151</v>
      </c>
      <c r="AH76" s="47">
        <f t="shared" si="43"/>
        <v>1.0451200620804608</v>
      </c>
      <c r="AI76" s="47">
        <f t="shared" si="43"/>
        <v>1.0684378796040028</v>
      </c>
      <c r="AJ76" s="47">
        <f t="shared" si="43"/>
        <v>1.0922759441630663</v>
      </c>
      <c r="AK76" s="47">
        <f t="shared" si="43"/>
        <v>1.1166458630608516</v>
      </c>
      <c r="AL76" s="47">
        <f t="shared" si="43"/>
        <v>1.1415595025726979</v>
      </c>
      <c r="AM76" s="47">
        <f t="shared" si="43"/>
        <v>1.1670289937240468</v>
      </c>
      <c r="AN76" s="47">
        <f t="shared" si="43"/>
        <v>1.1930667381973179</v>
      </c>
      <c r="AO76" s="47">
        <f t="shared" si="43"/>
        <v>1.2196854143705735</v>
      </c>
      <c r="AP76" s="47">
        <f t="shared" si="43"/>
        <v>1.2468979834909137</v>
      </c>
      <c r="AQ76" s="47">
        <f t="shared" si="43"/>
        <v>1.2747176959856064</v>
      </c>
      <c r="AR76" s="47">
        <f t="shared" si="43"/>
        <v>1.3031580979140251</v>
      </c>
      <c r="AS76" s="47">
        <f t="shared" si="43"/>
        <v>1.3322330375635392</v>
      </c>
      <c r="AT76" s="47">
        <f t="shared" si="43"/>
        <v>1.3619566721925613</v>
      </c>
      <c r="AU76" s="47">
        <f t="shared" si="43"/>
        <v>1.3923434749240466</v>
      </c>
      <c r="AV76" s="47">
        <f t="shared" si="43"/>
        <v>1.4234082417927876</v>
      </c>
      <c r="AW76" s="47">
        <f t="shared" si="43"/>
        <v>1.4551660989499444</v>
      </c>
      <c r="AX76" s="47">
        <f t="shared" si="43"/>
        <v>1.4876325100283176</v>
      </c>
      <c r="AY76" s="47">
        <f t="shared" si="43"/>
        <v>1.5208232836719477</v>
      </c>
      <c r="AZ76" s="47">
        <f t="shared" si="43"/>
        <v>1.5547545812337071</v>
      </c>
      <c r="BA76" s="47">
        <f t="shared" si="43"/>
        <v>1.5894429246446367</v>
      </c>
      <c r="BB76" s="47">
        <f t="shared" si="43"/>
        <v>1.624905204458853</v>
      </c>
      <c r="BC76" s="47">
        <f t="shared" si="43"/>
        <v>1.6611586880779516</v>
      </c>
      <c r="BD76" s="47">
        <f t="shared" si="43"/>
        <v>1.6982210281589003</v>
      </c>
      <c r="BE76" s="47">
        <f t="shared" si="43"/>
        <v>1.7361102712095255</v>
      </c>
      <c r="BF76" s="47">
        <f t="shared" si="43"/>
        <v>1.7748448663757739</v>
      </c>
      <c r="BG76" s="47">
        <f t="shared" si="43"/>
        <v>1.814443674425025</v>
      </c>
      <c r="BH76" s="47">
        <f t="shared" si="43"/>
        <v>1.8549259769298359</v>
      </c>
      <c r="BI76" s="47">
        <f t="shared" si="43"/>
        <v>1.8963114856565819</v>
      </c>
      <c r="BJ76" s="47">
        <f t="shared" si="43"/>
        <v>1.9386203521635696</v>
      </c>
      <c r="BK76" s="47">
        <f t="shared" si="43"/>
        <v>1.9818731776132974</v>
      </c>
      <c r="BL76" s="47">
        <f t="shared" si="43"/>
        <v>2.0260910228036346</v>
      </c>
      <c r="BM76" s="47">
        <f t="shared" si="43"/>
        <v>2.0712954184228098</v>
      </c>
      <c r="BN76" s="47">
        <f t="shared" si="43"/>
        <v>2.1175083755331991</v>
      </c>
      <c r="BO76" s="47">
        <f t="shared" ref="BO76:BY79" si="44">(1+$F$44)^(BO$46-$B76)</f>
        <v>2.1647523962890207</v>
      </c>
      <c r="BP76" s="47">
        <f t="shared" si="44"/>
        <v>2.2130504848931527</v>
      </c>
      <c r="BQ76" s="47">
        <f t="shared" si="44"/>
        <v>2.2624261587984082</v>
      </c>
      <c r="BR76" s="47">
        <f t="shared" si="44"/>
        <v>2.3129034601587257</v>
      </c>
      <c r="BS76" s="47">
        <f t="shared" si="44"/>
        <v>2.3645069675358505</v>
      </c>
      <c r="BT76" s="47">
        <f t="shared" si="44"/>
        <v>2.4172618078672001</v>
      </c>
      <c r="BU76" s="47">
        <f t="shared" si="44"/>
        <v>2.4711936687007503</v>
      </c>
      <c r="BV76" s="47">
        <f t="shared" si="44"/>
        <v>2.5263288107028949</v>
      </c>
      <c r="BW76" s="47">
        <f t="shared" si="44"/>
        <v>2.58269408044537</v>
      </c>
      <c r="BX76" s="47">
        <f t="shared" si="44"/>
        <v>2.6403169234774664</v>
      </c>
      <c r="BY76" s="47">
        <f t="shared" si="44"/>
        <v>2.6992253976899039</v>
      </c>
    </row>
    <row r="77" spans="1:77" x14ac:dyDescent="0.25">
      <c r="A77" s="116"/>
      <c r="B77" s="46">
        <v>2016</v>
      </c>
      <c r="C77" s="47">
        <f t="shared" si="30"/>
        <v>0.51583075504389719</v>
      </c>
      <c r="D77" s="47">
        <f t="shared" ref="D77:BO80" si="45">(1+$F$44)^(D$46-$B77)</f>
        <v>0.52733952600290157</v>
      </c>
      <c r="E77" s="47">
        <f t="shared" si="45"/>
        <v>0.53910507073448888</v>
      </c>
      <c r="F77" s="47">
        <f t="shared" si="45"/>
        <v>0.55113311815363342</v>
      </c>
      <c r="G77" s="47">
        <f t="shared" si="45"/>
        <v>0.56342952499392018</v>
      </c>
      <c r="H77" s="47">
        <f t="shared" si="45"/>
        <v>0.57600027865932324</v>
      </c>
      <c r="I77" s="47">
        <f t="shared" si="45"/>
        <v>0.58885150013961041</v>
      </c>
      <c r="J77" s="47">
        <f t="shared" si="45"/>
        <v>0.6019894469907946</v>
      </c>
      <c r="K77" s="47">
        <f t="shared" si="45"/>
        <v>0.61542051638208206</v>
      </c>
      <c r="L77" s="47">
        <f t="shared" si="45"/>
        <v>0.62915124821080148</v>
      </c>
      <c r="M77" s="47">
        <f t="shared" si="45"/>
        <v>0.64318832828683092</v>
      </c>
      <c r="N77" s="47">
        <f t="shared" si="45"/>
        <v>0.65753859158807237</v>
      </c>
      <c r="O77" s="47">
        <f t="shared" si="45"/>
        <v>0.67220902558856055</v>
      </c>
      <c r="P77" s="47">
        <f t="shared" si="45"/>
        <v>0.68720677366082494</v>
      </c>
      <c r="Q77" s="47">
        <f t="shared" si="45"/>
        <v>0.7025391385541625</v>
      </c>
      <c r="R77" s="47">
        <f t="shared" si="45"/>
        <v>0.71821358595051465</v>
      </c>
      <c r="S77" s="47">
        <f t="shared" si="45"/>
        <v>0.73423774809967979</v>
      </c>
      <c r="T77" s="47">
        <f t="shared" si="45"/>
        <v>0.75061942753563204</v>
      </c>
      <c r="U77" s="47">
        <f t="shared" si="45"/>
        <v>0.76736660087575514</v>
      </c>
      <c r="V77" s="47">
        <f t="shared" si="45"/>
        <v>0.78448742270483995</v>
      </c>
      <c r="W77" s="47">
        <f t="shared" si="45"/>
        <v>0.8019902295457414</v>
      </c>
      <c r="X77" s="47">
        <f t="shared" si="45"/>
        <v>0.81988354391862295</v>
      </c>
      <c r="Y77" s="47">
        <f t="shared" si="45"/>
        <v>0.83817607849076825</v>
      </c>
      <c r="Z77" s="47">
        <f t="shared" si="45"/>
        <v>0.85687674031897954</v>
      </c>
      <c r="AA77" s="47">
        <f t="shared" si="45"/>
        <v>0.8759946351866289</v>
      </c>
      <c r="AB77" s="47">
        <f t="shared" si="45"/>
        <v>0.89553907203747463</v>
      </c>
      <c r="AC77" s="47">
        <f t="shared" si="45"/>
        <v>0.91551956750840024</v>
      </c>
      <c r="AD77" s="47">
        <f t="shared" si="45"/>
        <v>0.93594585056328394</v>
      </c>
      <c r="AE77" s="47">
        <f t="shared" si="45"/>
        <v>0.95682786723025592</v>
      </c>
      <c r="AF77" s="47">
        <f t="shared" si="45"/>
        <v>0.97817578544464889</v>
      </c>
      <c r="AG77" s="47">
        <f t="shared" si="45"/>
        <v>1</v>
      </c>
      <c r="AH77" s="47">
        <f t="shared" si="45"/>
        <v>1.0223111376095151</v>
      </c>
      <c r="AI77" s="47">
        <f t="shared" si="45"/>
        <v>1.0451200620804608</v>
      </c>
      <c r="AJ77" s="47">
        <f t="shared" si="45"/>
        <v>1.0684378796040028</v>
      </c>
      <c r="AK77" s="47">
        <f t="shared" si="45"/>
        <v>1.0922759441630663</v>
      </c>
      <c r="AL77" s="47">
        <f t="shared" si="45"/>
        <v>1.1166458630608516</v>
      </c>
      <c r="AM77" s="47">
        <f t="shared" si="45"/>
        <v>1.1415595025726979</v>
      </c>
      <c r="AN77" s="47">
        <f t="shared" si="45"/>
        <v>1.1670289937240468</v>
      </c>
      <c r="AO77" s="47">
        <f t="shared" si="45"/>
        <v>1.1930667381973179</v>
      </c>
      <c r="AP77" s="47">
        <f t="shared" si="45"/>
        <v>1.2196854143705735</v>
      </c>
      <c r="AQ77" s="47">
        <f t="shared" si="45"/>
        <v>1.2468979834909137</v>
      </c>
      <c r="AR77" s="47">
        <f t="shared" si="45"/>
        <v>1.2747176959856064</v>
      </c>
      <c r="AS77" s="47">
        <f t="shared" si="45"/>
        <v>1.3031580979140251</v>
      </c>
      <c r="AT77" s="47">
        <f t="shared" si="45"/>
        <v>1.3322330375635392</v>
      </c>
      <c r="AU77" s="47">
        <f t="shared" si="45"/>
        <v>1.3619566721925613</v>
      </c>
      <c r="AV77" s="47">
        <f t="shared" si="45"/>
        <v>1.3923434749240466</v>
      </c>
      <c r="AW77" s="47">
        <f t="shared" si="45"/>
        <v>1.4234082417927876</v>
      </c>
      <c r="AX77" s="47">
        <f t="shared" si="45"/>
        <v>1.4551660989499444</v>
      </c>
      <c r="AY77" s="47">
        <f t="shared" si="45"/>
        <v>1.4876325100283176</v>
      </c>
      <c r="AZ77" s="47">
        <f t="shared" si="45"/>
        <v>1.5208232836719477</v>
      </c>
      <c r="BA77" s="47">
        <f t="shared" si="45"/>
        <v>1.5547545812337071</v>
      </c>
      <c r="BB77" s="47">
        <f t="shared" si="45"/>
        <v>1.5894429246446367</v>
      </c>
      <c r="BC77" s="47">
        <f t="shared" si="45"/>
        <v>1.624905204458853</v>
      </c>
      <c r="BD77" s="47">
        <f t="shared" si="45"/>
        <v>1.6611586880779516</v>
      </c>
      <c r="BE77" s="47">
        <f t="shared" si="45"/>
        <v>1.6982210281589003</v>
      </c>
      <c r="BF77" s="47">
        <f t="shared" si="45"/>
        <v>1.7361102712095255</v>
      </c>
      <c r="BG77" s="47">
        <f t="shared" si="45"/>
        <v>1.7748448663757739</v>
      </c>
      <c r="BH77" s="47">
        <f t="shared" si="45"/>
        <v>1.814443674425025</v>
      </c>
      <c r="BI77" s="47">
        <f t="shared" si="45"/>
        <v>1.8549259769298359</v>
      </c>
      <c r="BJ77" s="47">
        <f t="shared" si="45"/>
        <v>1.8963114856565819</v>
      </c>
      <c r="BK77" s="47">
        <f t="shared" si="45"/>
        <v>1.9386203521635696</v>
      </c>
      <c r="BL77" s="47">
        <f t="shared" si="45"/>
        <v>1.9818731776132974</v>
      </c>
      <c r="BM77" s="47">
        <f t="shared" si="45"/>
        <v>2.0260910228036346</v>
      </c>
      <c r="BN77" s="47">
        <f t="shared" si="45"/>
        <v>2.0712954184228098</v>
      </c>
      <c r="BO77" s="47">
        <f t="shared" si="45"/>
        <v>2.1175083755331991</v>
      </c>
      <c r="BP77" s="47">
        <f t="shared" si="44"/>
        <v>2.1647523962890207</v>
      </c>
      <c r="BQ77" s="47">
        <f t="shared" si="44"/>
        <v>2.2130504848931527</v>
      </c>
      <c r="BR77" s="47">
        <f t="shared" si="44"/>
        <v>2.2624261587984082</v>
      </c>
      <c r="BS77" s="47">
        <f t="shared" si="44"/>
        <v>2.3129034601587257</v>
      </c>
      <c r="BT77" s="47">
        <f t="shared" si="44"/>
        <v>2.3645069675358505</v>
      </c>
      <c r="BU77" s="47">
        <f t="shared" si="44"/>
        <v>2.4172618078672001</v>
      </c>
      <c r="BV77" s="47">
        <f t="shared" si="44"/>
        <v>2.4711936687007503</v>
      </c>
      <c r="BW77" s="47">
        <f t="shared" si="44"/>
        <v>2.5263288107028949</v>
      </c>
      <c r="BX77" s="47">
        <f t="shared" si="44"/>
        <v>2.58269408044537</v>
      </c>
      <c r="BY77" s="47">
        <f t="shared" si="44"/>
        <v>2.6403169234774664</v>
      </c>
    </row>
    <row r="78" spans="1:77" x14ac:dyDescent="0.25">
      <c r="A78" s="116"/>
      <c r="B78" s="46">
        <v>2017</v>
      </c>
      <c r="C78" s="47">
        <f t="shared" si="30"/>
        <v>0.50457315397157054</v>
      </c>
      <c r="D78" s="47">
        <f t="shared" si="45"/>
        <v>0.51583075504389719</v>
      </c>
      <c r="E78" s="47">
        <f t="shared" si="45"/>
        <v>0.52733952600290157</v>
      </c>
      <c r="F78" s="47">
        <f t="shared" si="45"/>
        <v>0.53910507073448888</v>
      </c>
      <c r="G78" s="47">
        <f t="shared" si="45"/>
        <v>0.55113311815363342</v>
      </c>
      <c r="H78" s="47">
        <f t="shared" si="45"/>
        <v>0.56342952499392018</v>
      </c>
      <c r="I78" s="47">
        <f t="shared" si="45"/>
        <v>0.57600027865932324</v>
      </c>
      <c r="J78" s="47">
        <f t="shared" si="45"/>
        <v>0.58885150013961041</v>
      </c>
      <c r="K78" s="47">
        <f t="shared" si="45"/>
        <v>0.6019894469907946</v>
      </c>
      <c r="L78" s="47">
        <f t="shared" si="45"/>
        <v>0.61542051638208206</v>
      </c>
      <c r="M78" s="47">
        <f t="shared" si="45"/>
        <v>0.62915124821080148</v>
      </c>
      <c r="N78" s="47">
        <f t="shared" si="45"/>
        <v>0.64318832828683092</v>
      </c>
      <c r="O78" s="47">
        <f t="shared" si="45"/>
        <v>0.65753859158807237</v>
      </c>
      <c r="P78" s="47">
        <f t="shared" si="45"/>
        <v>0.67220902558856055</v>
      </c>
      <c r="Q78" s="47">
        <f t="shared" si="45"/>
        <v>0.68720677366082494</v>
      </c>
      <c r="R78" s="47">
        <f t="shared" si="45"/>
        <v>0.7025391385541625</v>
      </c>
      <c r="S78" s="47">
        <f t="shared" si="45"/>
        <v>0.71821358595051465</v>
      </c>
      <c r="T78" s="47">
        <f t="shared" si="45"/>
        <v>0.73423774809967979</v>
      </c>
      <c r="U78" s="47">
        <f t="shared" si="45"/>
        <v>0.75061942753563204</v>
      </c>
      <c r="V78" s="47">
        <f t="shared" si="45"/>
        <v>0.76736660087575514</v>
      </c>
      <c r="W78" s="47">
        <f t="shared" si="45"/>
        <v>0.78448742270483995</v>
      </c>
      <c r="X78" s="47">
        <f t="shared" si="45"/>
        <v>0.8019902295457414</v>
      </c>
      <c r="Y78" s="47">
        <f t="shared" si="45"/>
        <v>0.81988354391862295</v>
      </c>
      <c r="Z78" s="47">
        <f t="shared" si="45"/>
        <v>0.83817607849076825</v>
      </c>
      <c r="AA78" s="47">
        <f t="shared" si="45"/>
        <v>0.85687674031897954</v>
      </c>
      <c r="AB78" s="47">
        <f t="shared" si="45"/>
        <v>0.8759946351866289</v>
      </c>
      <c r="AC78" s="47">
        <f t="shared" si="45"/>
        <v>0.89553907203747463</v>
      </c>
      <c r="AD78" s="47">
        <f t="shared" si="45"/>
        <v>0.91551956750840024</v>
      </c>
      <c r="AE78" s="47">
        <f t="shared" si="45"/>
        <v>0.93594585056328394</v>
      </c>
      <c r="AF78" s="47">
        <f t="shared" si="45"/>
        <v>0.95682786723025592</v>
      </c>
      <c r="AG78" s="47">
        <f t="shared" si="45"/>
        <v>0.97817578544464889</v>
      </c>
      <c r="AH78" s="47">
        <f t="shared" si="45"/>
        <v>1</v>
      </c>
      <c r="AI78" s="47">
        <f t="shared" si="45"/>
        <v>1.0223111376095151</v>
      </c>
      <c r="AJ78" s="47">
        <f t="shared" si="45"/>
        <v>1.0451200620804608</v>
      </c>
      <c r="AK78" s="47">
        <f t="shared" si="45"/>
        <v>1.0684378796040028</v>
      </c>
      <c r="AL78" s="47">
        <f t="shared" si="45"/>
        <v>1.0922759441630663</v>
      </c>
      <c r="AM78" s="47">
        <f t="shared" si="45"/>
        <v>1.1166458630608516</v>
      </c>
      <c r="AN78" s="47">
        <f t="shared" si="45"/>
        <v>1.1415595025726979</v>
      </c>
      <c r="AO78" s="47">
        <f t="shared" si="45"/>
        <v>1.1670289937240468</v>
      </c>
      <c r="AP78" s="47">
        <f t="shared" si="45"/>
        <v>1.1930667381973179</v>
      </c>
      <c r="AQ78" s="47">
        <f t="shared" si="45"/>
        <v>1.2196854143705735</v>
      </c>
      <c r="AR78" s="47">
        <f t="shared" si="45"/>
        <v>1.2468979834909137</v>
      </c>
      <c r="AS78" s="47">
        <f t="shared" si="45"/>
        <v>1.2747176959856064</v>
      </c>
      <c r="AT78" s="47">
        <f t="shared" si="45"/>
        <v>1.3031580979140251</v>
      </c>
      <c r="AU78" s="47">
        <f t="shared" si="45"/>
        <v>1.3322330375635392</v>
      </c>
      <c r="AV78" s="47">
        <f t="shared" si="45"/>
        <v>1.3619566721925613</v>
      </c>
      <c r="AW78" s="47">
        <f t="shared" si="45"/>
        <v>1.3923434749240466</v>
      </c>
      <c r="AX78" s="47">
        <f t="shared" si="45"/>
        <v>1.4234082417927876</v>
      </c>
      <c r="AY78" s="47">
        <f t="shared" si="45"/>
        <v>1.4551660989499444</v>
      </c>
      <c r="AZ78" s="47">
        <f t="shared" si="45"/>
        <v>1.4876325100283176</v>
      </c>
      <c r="BA78" s="47">
        <f t="shared" si="45"/>
        <v>1.5208232836719477</v>
      </c>
      <c r="BB78" s="47">
        <f t="shared" si="45"/>
        <v>1.5547545812337071</v>
      </c>
      <c r="BC78" s="47">
        <f t="shared" si="45"/>
        <v>1.5894429246446367</v>
      </c>
      <c r="BD78" s="47">
        <f t="shared" si="45"/>
        <v>1.624905204458853</v>
      </c>
      <c r="BE78" s="47">
        <f t="shared" si="45"/>
        <v>1.6611586880779516</v>
      </c>
      <c r="BF78" s="47">
        <f t="shared" si="45"/>
        <v>1.6982210281589003</v>
      </c>
      <c r="BG78" s="47">
        <f t="shared" si="45"/>
        <v>1.7361102712095255</v>
      </c>
      <c r="BH78" s="47">
        <f t="shared" si="45"/>
        <v>1.7748448663757739</v>
      </c>
      <c r="BI78" s="47">
        <f t="shared" si="45"/>
        <v>1.814443674425025</v>
      </c>
      <c r="BJ78" s="47">
        <f t="shared" si="45"/>
        <v>1.8549259769298359</v>
      </c>
      <c r="BK78" s="47">
        <f t="shared" si="45"/>
        <v>1.8963114856565819</v>
      </c>
      <c r="BL78" s="47">
        <f t="shared" si="45"/>
        <v>1.9386203521635696</v>
      </c>
      <c r="BM78" s="47">
        <f t="shared" si="45"/>
        <v>1.9818731776132974</v>
      </c>
      <c r="BN78" s="47">
        <f t="shared" si="45"/>
        <v>2.0260910228036346</v>
      </c>
      <c r="BO78" s="47">
        <f t="shared" si="45"/>
        <v>2.0712954184228098</v>
      </c>
      <c r="BP78" s="47">
        <f t="shared" si="44"/>
        <v>2.1175083755331991</v>
      </c>
      <c r="BQ78" s="47">
        <f t="shared" si="44"/>
        <v>2.1647523962890207</v>
      </c>
      <c r="BR78" s="47">
        <f t="shared" si="44"/>
        <v>2.2130504848931527</v>
      </c>
      <c r="BS78" s="47">
        <f t="shared" si="44"/>
        <v>2.2624261587984082</v>
      </c>
      <c r="BT78" s="47">
        <f t="shared" si="44"/>
        <v>2.3129034601587257</v>
      </c>
      <c r="BU78" s="47">
        <f t="shared" si="44"/>
        <v>2.3645069675358505</v>
      </c>
      <c r="BV78" s="47">
        <f t="shared" si="44"/>
        <v>2.4172618078672001</v>
      </c>
      <c r="BW78" s="47">
        <f t="shared" si="44"/>
        <v>2.4711936687007503</v>
      </c>
      <c r="BX78" s="47">
        <f t="shared" si="44"/>
        <v>2.5263288107028949</v>
      </c>
      <c r="BY78" s="47">
        <f t="shared" si="44"/>
        <v>2.58269408044537</v>
      </c>
    </row>
    <row r="79" spans="1:77" x14ac:dyDescent="0.25">
      <c r="A79" s="116"/>
      <c r="B79" s="46">
        <v>2018</v>
      </c>
      <c r="C79" s="47">
        <f t="shared" si="30"/>
        <v>0.49356124120042477</v>
      </c>
      <c r="D79" s="47">
        <f t="shared" si="45"/>
        <v>0.50457315397157054</v>
      </c>
      <c r="E79" s="47">
        <f t="shared" si="45"/>
        <v>0.51583075504389719</v>
      </c>
      <c r="F79" s="47">
        <f t="shared" si="45"/>
        <v>0.52733952600290157</v>
      </c>
      <c r="G79" s="47">
        <f t="shared" si="45"/>
        <v>0.53910507073448888</v>
      </c>
      <c r="H79" s="47">
        <f t="shared" si="45"/>
        <v>0.55113311815363342</v>
      </c>
      <c r="I79" s="47">
        <f t="shared" si="45"/>
        <v>0.56342952499392018</v>
      </c>
      <c r="J79" s="47">
        <f t="shared" si="45"/>
        <v>0.57600027865932324</v>
      </c>
      <c r="K79" s="47">
        <f t="shared" si="45"/>
        <v>0.58885150013961041</v>
      </c>
      <c r="L79" s="47">
        <f t="shared" si="45"/>
        <v>0.6019894469907946</v>
      </c>
      <c r="M79" s="47">
        <f t="shared" si="45"/>
        <v>0.61542051638208206</v>
      </c>
      <c r="N79" s="47">
        <f t="shared" si="45"/>
        <v>0.62915124821080148</v>
      </c>
      <c r="O79" s="47">
        <f t="shared" si="45"/>
        <v>0.64318832828683092</v>
      </c>
      <c r="P79" s="47">
        <f t="shared" si="45"/>
        <v>0.65753859158807237</v>
      </c>
      <c r="Q79" s="47">
        <f t="shared" si="45"/>
        <v>0.67220902558856055</v>
      </c>
      <c r="R79" s="47">
        <f t="shared" si="45"/>
        <v>0.68720677366082494</v>
      </c>
      <c r="S79" s="47">
        <f t="shared" si="45"/>
        <v>0.7025391385541625</v>
      </c>
      <c r="T79" s="47">
        <f t="shared" si="45"/>
        <v>0.71821358595051465</v>
      </c>
      <c r="U79" s="47">
        <f t="shared" si="45"/>
        <v>0.73423774809967979</v>
      </c>
      <c r="V79" s="47">
        <f t="shared" si="45"/>
        <v>0.75061942753563204</v>
      </c>
      <c r="W79" s="47">
        <f t="shared" si="45"/>
        <v>0.76736660087575514</v>
      </c>
      <c r="X79" s="47">
        <f t="shared" si="45"/>
        <v>0.78448742270483995</v>
      </c>
      <c r="Y79" s="47">
        <f t="shared" si="45"/>
        <v>0.8019902295457414</v>
      </c>
      <c r="Z79" s="47">
        <f t="shared" si="45"/>
        <v>0.81988354391862295</v>
      </c>
      <c r="AA79" s="47">
        <f t="shared" si="45"/>
        <v>0.83817607849076825</v>
      </c>
      <c r="AB79" s="47">
        <f t="shared" si="45"/>
        <v>0.85687674031897954</v>
      </c>
      <c r="AC79" s="47">
        <f t="shared" si="45"/>
        <v>0.8759946351866289</v>
      </c>
      <c r="AD79" s="47">
        <f t="shared" si="45"/>
        <v>0.89553907203747463</v>
      </c>
      <c r="AE79" s="47">
        <f t="shared" si="45"/>
        <v>0.91551956750840024</v>
      </c>
      <c r="AF79" s="47">
        <f t="shared" si="45"/>
        <v>0.93594585056328394</v>
      </c>
      <c r="AG79" s="47">
        <f t="shared" si="45"/>
        <v>0.95682786723025592</v>
      </c>
      <c r="AH79" s="47">
        <f t="shared" si="45"/>
        <v>0.97817578544464889</v>
      </c>
      <c r="AI79" s="47">
        <f t="shared" si="45"/>
        <v>1</v>
      </c>
      <c r="AJ79" s="47">
        <f t="shared" si="45"/>
        <v>1.0223111376095151</v>
      </c>
      <c r="AK79" s="47">
        <f t="shared" si="45"/>
        <v>1.0451200620804608</v>
      </c>
      <c r="AL79" s="47">
        <f t="shared" si="45"/>
        <v>1.0684378796040028</v>
      </c>
      <c r="AM79" s="47">
        <f t="shared" si="45"/>
        <v>1.0922759441630663</v>
      </c>
      <c r="AN79" s="47">
        <f t="shared" si="45"/>
        <v>1.1166458630608516</v>
      </c>
      <c r="AO79" s="47">
        <f t="shared" si="45"/>
        <v>1.1415595025726979</v>
      </c>
      <c r="AP79" s="47">
        <f t="shared" si="45"/>
        <v>1.1670289937240468</v>
      </c>
      <c r="AQ79" s="47">
        <f t="shared" si="45"/>
        <v>1.1930667381973179</v>
      </c>
      <c r="AR79" s="47">
        <f t="shared" si="45"/>
        <v>1.2196854143705735</v>
      </c>
      <c r="AS79" s="47">
        <f t="shared" si="45"/>
        <v>1.2468979834909137</v>
      </c>
      <c r="AT79" s="47">
        <f t="shared" si="45"/>
        <v>1.2747176959856064</v>
      </c>
      <c r="AU79" s="47">
        <f t="shared" si="45"/>
        <v>1.3031580979140251</v>
      </c>
      <c r="AV79" s="47">
        <f t="shared" si="45"/>
        <v>1.3322330375635392</v>
      </c>
      <c r="AW79" s="47">
        <f t="shared" si="45"/>
        <v>1.3619566721925613</v>
      </c>
      <c r="AX79" s="47">
        <f t="shared" si="45"/>
        <v>1.3923434749240466</v>
      </c>
      <c r="AY79" s="47">
        <f t="shared" si="45"/>
        <v>1.4234082417927876</v>
      </c>
      <c r="AZ79" s="47">
        <f t="shared" si="45"/>
        <v>1.4551660989499444</v>
      </c>
      <c r="BA79" s="47">
        <f t="shared" si="45"/>
        <v>1.4876325100283176</v>
      </c>
      <c r="BB79" s="47">
        <f t="shared" si="45"/>
        <v>1.5208232836719477</v>
      </c>
      <c r="BC79" s="47">
        <f t="shared" si="45"/>
        <v>1.5547545812337071</v>
      </c>
      <c r="BD79" s="47">
        <f t="shared" si="45"/>
        <v>1.5894429246446367</v>
      </c>
      <c r="BE79" s="47">
        <f t="shared" si="45"/>
        <v>1.624905204458853</v>
      </c>
      <c r="BF79" s="47">
        <f t="shared" si="45"/>
        <v>1.6611586880779516</v>
      </c>
      <c r="BG79" s="47">
        <f t="shared" si="45"/>
        <v>1.6982210281589003</v>
      </c>
      <c r="BH79" s="47">
        <f t="shared" si="45"/>
        <v>1.7361102712095255</v>
      </c>
      <c r="BI79" s="47">
        <f t="shared" si="45"/>
        <v>1.7748448663757739</v>
      </c>
      <c r="BJ79" s="47">
        <f t="shared" si="45"/>
        <v>1.814443674425025</v>
      </c>
      <c r="BK79" s="47">
        <f t="shared" si="45"/>
        <v>1.8549259769298359</v>
      </c>
      <c r="BL79" s="47">
        <f t="shared" si="45"/>
        <v>1.8963114856565819</v>
      </c>
      <c r="BM79" s="47">
        <f t="shared" si="45"/>
        <v>1.9386203521635696</v>
      </c>
      <c r="BN79" s="47">
        <f t="shared" si="45"/>
        <v>1.9818731776132974</v>
      </c>
      <c r="BO79" s="47">
        <f t="shared" si="45"/>
        <v>2.0260910228036346</v>
      </c>
      <c r="BP79" s="47">
        <f t="shared" si="44"/>
        <v>2.0712954184228098</v>
      </c>
      <c r="BQ79" s="47">
        <f t="shared" si="44"/>
        <v>2.1175083755331991</v>
      </c>
      <c r="BR79" s="47">
        <f t="shared" si="44"/>
        <v>2.1647523962890207</v>
      </c>
      <c r="BS79" s="47">
        <f t="shared" si="44"/>
        <v>2.2130504848931527</v>
      </c>
      <c r="BT79" s="47">
        <f t="shared" si="44"/>
        <v>2.2624261587984082</v>
      </c>
      <c r="BU79" s="47">
        <f t="shared" si="44"/>
        <v>2.3129034601587257</v>
      </c>
      <c r="BV79" s="47">
        <f t="shared" si="44"/>
        <v>2.3645069675358505</v>
      </c>
      <c r="BW79" s="47">
        <f t="shared" si="44"/>
        <v>2.4172618078672001</v>
      </c>
      <c r="BX79" s="47">
        <f t="shared" si="44"/>
        <v>2.4711936687007503</v>
      </c>
      <c r="BY79" s="47">
        <f t="shared" si="44"/>
        <v>2.5263288107028949</v>
      </c>
    </row>
    <row r="80" spans="1:77" x14ac:dyDescent="0.25">
      <c r="A80" s="116"/>
      <c r="B80" s="46">
        <v>2019</v>
      </c>
      <c r="C80" s="47">
        <f t="shared" si="30"/>
        <v>0.48278965477626129</v>
      </c>
      <c r="D80" s="47">
        <f t="shared" si="45"/>
        <v>0.49356124120042477</v>
      </c>
      <c r="E80" s="47">
        <f t="shared" si="45"/>
        <v>0.50457315397157054</v>
      </c>
      <c r="F80" s="47">
        <f t="shared" si="45"/>
        <v>0.51583075504389719</v>
      </c>
      <c r="G80" s="47">
        <f t="shared" si="45"/>
        <v>0.52733952600290157</v>
      </c>
      <c r="H80" s="47">
        <f t="shared" si="45"/>
        <v>0.53910507073448888</v>
      </c>
      <c r="I80" s="47">
        <f t="shared" si="45"/>
        <v>0.55113311815363342</v>
      </c>
      <c r="J80" s="47">
        <f t="shared" si="45"/>
        <v>0.56342952499392018</v>
      </c>
      <c r="K80" s="47">
        <f t="shared" si="45"/>
        <v>0.57600027865932324</v>
      </c>
      <c r="L80" s="47">
        <f t="shared" si="45"/>
        <v>0.58885150013961041</v>
      </c>
      <c r="M80" s="47">
        <f t="shared" si="45"/>
        <v>0.6019894469907946</v>
      </c>
      <c r="N80" s="47">
        <f t="shared" si="45"/>
        <v>0.61542051638208206</v>
      </c>
      <c r="O80" s="47">
        <f t="shared" si="45"/>
        <v>0.62915124821080148</v>
      </c>
      <c r="P80" s="47">
        <f t="shared" si="45"/>
        <v>0.64318832828683092</v>
      </c>
      <c r="Q80" s="47">
        <f t="shared" si="45"/>
        <v>0.65753859158807237</v>
      </c>
      <c r="R80" s="47">
        <f t="shared" si="45"/>
        <v>0.67220902558856055</v>
      </c>
      <c r="S80" s="47">
        <f t="shared" si="45"/>
        <v>0.68720677366082494</v>
      </c>
      <c r="T80" s="47">
        <f t="shared" si="45"/>
        <v>0.7025391385541625</v>
      </c>
      <c r="U80" s="47">
        <f t="shared" si="45"/>
        <v>0.71821358595051465</v>
      </c>
      <c r="V80" s="47">
        <f t="shared" si="45"/>
        <v>0.73423774809967979</v>
      </c>
      <c r="W80" s="47">
        <f t="shared" si="45"/>
        <v>0.75061942753563204</v>
      </c>
      <c r="X80" s="47">
        <f t="shared" si="45"/>
        <v>0.76736660087575514</v>
      </c>
      <c r="Y80" s="47">
        <f t="shared" si="45"/>
        <v>0.78448742270483995</v>
      </c>
      <c r="Z80" s="47">
        <f t="shared" si="45"/>
        <v>0.8019902295457414</v>
      </c>
      <c r="AA80" s="47">
        <f t="shared" si="45"/>
        <v>0.81988354391862295</v>
      </c>
      <c r="AB80" s="47">
        <f t="shared" si="45"/>
        <v>0.83817607849076825</v>
      </c>
      <c r="AC80" s="47">
        <f t="shared" si="45"/>
        <v>0.85687674031897954</v>
      </c>
      <c r="AD80" s="47">
        <f t="shared" si="45"/>
        <v>0.8759946351866289</v>
      </c>
      <c r="AE80" s="47">
        <f t="shared" si="45"/>
        <v>0.89553907203747463</v>
      </c>
      <c r="AF80" s="47">
        <f t="shared" si="45"/>
        <v>0.91551956750840024</v>
      </c>
      <c r="AG80" s="47">
        <f t="shared" si="45"/>
        <v>0.93594585056328394</v>
      </c>
      <c r="AH80" s="47">
        <f t="shared" si="45"/>
        <v>0.95682786723025592</v>
      </c>
      <c r="AI80" s="47">
        <f t="shared" si="45"/>
        <v>0.97817578544464889</v>
      </c>
      <c r="AJ80" s="47">
        <f t="shared" si="45"/>
        <v>1</v>
      </c>
      <c r="AK80" s="47">
        <f t="shared" si="45"/>
        <v>1.0223111376095151</v>
      </c>
      <c r="AL80" s="47">
        <f t="shared" si="45"/>
        <v>1.0451200620804608</v>
      </c>
      <c r="AM80" s="47">
        <f t="shared" si="45"/>
        <v>1.0684378796040028</v>
      </c>
      <c r="AN80" s="47">
        <f t="shared" si="45"/>
        <v>1.0922759441630663</v>
      </c>
      <c r="AO80" s="47">
        <f t="shared" si="45"/>
        <v>1.1166458630608516</v>
      </c>
      <c r="AP80" s="47">
        <f t="shared" si="45"/>
        <v>1.1415595025726979</v>
      </c>
      <c r="AQ80" s="47">
        <f t="shared" si="45"/>
        <v>1.1670289937240468</v>
      </c>
      <c r="AR80" s="47">
        <f t="shared" si="45"/>
        <v>1.1930667381973179</v>
      </c>
      <c r="AS80" s="47">
        <f t="shared" si="45"/>
        <v>1.2196854143705735</v>
      </c>
      <c r="AT80" s="47">
        <f t="shared" si="45"/>
        <v>1.2468979834909137</v>
      </c>
      <c r="AU80" s="47">
        <f t="shared" si="45"/>
        <v>1.2747176959856064</v>
      </c>
      <c r="AV80" s="47">
        <f t="shared" si="45"/>
        <v>1.3031580979140251</v>
      </c>
      <c r="AW80" s="47">
        <f t="shared" si="45"/>
        <v>1.3322330375635392</v>
      </c>
      <c r="AX80" s="47">
        <f t="shared" si="45"/>
        <v>1.3619566721925613</v>
      </c>
      <c r="AY80" s="47">
        <f t="shared" si="45"/>
        <v>1.3923434749240466</v>
      </c>
      <c r="AZ80" s="47">
        <f t="shared" si="45"/>
        <v>1.4234082417927876</v>
      </c>
      <c r="BA80" s="47">
        <f t="shared" si="45"/>
        <v>1.4551660989499444</v>
      </c>
      <c r="BB80" s="47">
        <f t="shared" si="45"/>
        <v>1.4876325100283176</v>
      </c>
      <c r="BC80" s="47">
        <f t="shared" si="45"/>
        <v>1.5208232836719477</v>
      </c>
      <c r="BD80" s="47">
        <f t="shared" si="45"/>
        <v>1.5547545812337071</v>
      </c>
      <c r="BE80" s="47">
        <f t="shared" si="45"/>
        <v>1.5894429246446367</v>
      </c>
      <c r="BF80" s="47">
        <f t="shared" si="45"/>
        <v>1.624905204458853</v>
      </c>
      <c r="BG80" s="47">
        <f t="shared" si="45"/>
        <v>1.6611586880779516</v>
      </c>
      <c r="BH80" s="47">
        <f t="shared" si="45"/>
        <v>1.6982210281589003</v>
      </c>
      <c r="BI80" s="47">
        <f t="shared" si="45"/>
        <v>1.7361102712095255</v>
      </c>
      <c r="BJ80" s="47">
        <f t="shared" si="45"/>
        <v>1.7748448663757739</v>
      </c>
      <c r="BK80" s="47">
        <f t="shared" si="45"/>
        <v>1.814443674425025</v>
      </c>
      <c r="BL80" s="47">
        <f t="shared" si="45"/>
        <v>1.8549259769298359</v>
      </c>
      <c r="BM80" s="47">
        <f t="shared" si="45"/>
        <v>1.8963114856565819</v>
      </c>
      <c r="BN80" s="47">
        <f t="shared" si="45"/>
        <v>1.9386203521635696</v>
      </c>
      <c r="BO80" s="47">
        <f t="shared" ref="BO80:BY85" si="46">(1+$F$44)^(BO$46-$B80)</f>
        <v>1.9818731776132974</v>
      </c>
      <c r="BP80" s="47">
        <f t="shared" si="46"/>
        <v>2.0260910228036346</v>
      </c>
      <c r="BQ80" s="47">
        <f t="shared" si="46"/>
        <v>2.0712954184228098</v>
      </c>
      <c r="BR80" s="47">
        <f t="shared" si="46"/>
        <v>2.1175083755331991</v>
      </c>
      <c r="BS80" s="47">
        <f t="shared" si="46"/>
        <v>2.1647523962890207</v>
      </c>
      <c r="BT80" s="47">
        <f t="shared" si="46"/>
        <v>2.2130504848931527</v>
      </c>
      <c r="BU80" s="47">
        <f t="shared" si="46"/>
        <v>2.2624261587984082</v>
      </c>
      <c r="BV80" s="47">
        <f t="shared" si="46"/>
        <v>2.3129034601587257</v>
      </c>
      <c r="BW80" s="47">
        <f t="shared" si="46"/>
        <v>2.3645069675358505</v>
      </c>
      <c r="BX80" s="47">
        <f t="shared" si="46"/>
        <v>2.4172618078672001</v>
      </c>
      <c r="BY80" s="47">
        <f t="shared" si="46"/>
        <v>2.4711936687007503</v>
      </c>
    </row>
    <row r="81" spans="1:77" x14ac:dyDescent="0.25">
      <c r="A81" s="116"/>
      <c r="B81" s="46">
        <v>2020</v>
      </c>
      <c r="C81" s="47">
        <f t="shared" si="30"/>
        <v>0.47225314976532029</v>
      </c>
      <c r="D81" s="47">
        <f t="shared" ref="D81:BO84" si="47">(1+$F$44)^(D$46-$B81)</f>
        <v>0.48278965477626129</v>
      </c>
      <c r="E81" s="47">
        <f t="shared" si="47"/>
        <v>0.49356124120042477</v>
      </c>
      <c r="F81" s="47">
        <f t="shared" si="47"/>
        <v>0.50457315397157054</v>
      </c>
      <c r="G81" s="47">
        <f t="shared" si="47"/>
        <v>0.51583075504389719</v>
      </c>
      <c r="H81" s="47">
        <f t="shared" si="47"/>
        <v>0.52733952600290157</v>
      </c>
      <c r="I81" s="47">
        <f t="shared" si="47"/>
        <v>0.53910507073448888</v>
      </c>
      <c r="J81" s="47">
        <f t="shared" si="47"/>
        <v>0.55113311815363342</v>
      </c>
      <c r="K81" s="47">
        <f t="shared" si="47"/>
        <v>0.56342952499392018</v>
      </c>
      <c r="L81" s="47">
        <f t="shared" si="47"/>
        <v>0.57600027865932324</v>
      </c>
      <c r="M81" s="47">
        <f t="shared" si="47"/>
        <v>0.58885150013961041</v>
      </c>
      <c r="N81" s="47">
        <f t="shared" si="47"/>
        <v>0.6019894469907946</v>
      </c>
      <c r="O81" s="47">
        <f t="shared" si="47"/>
        <v>0.61542051638208206</v>
      </c>
      <c r="P81" s="47">
        <f t="shared" si="47"/>
        <v>0.62915124821080148</v>
      </c>
      <c r="Q81" s="47">
        <f t="shared" si="47"/>
        <v>0.64318832828683092</v>
      </c>
      <c r="R81" s="47">
        <f t="shared" si="47"/>
        <v>0.65753859158807237</v>
      </c>
      <c r="S81" s="47">
        <f t="shared" si="47"/>
        <v>0.67220902558856055</v>
      </c>
      <c r="T81" s="47">
        <f t="shared" si="47"/>
        <v>0.68720677366082494</v>
      </c>
      <c r="U81" s="47">
        <f t="shared" si="47"/>
        <v>0.7025391385541625</v>
      </c>
      <c r="V81" s="47">
        <f t="shared" si="47"/>
        <v>0.71821358595051465</v>
      </c>
      <c r="W81" s="47">
        <f t="shared" si="47"/>
        <v>0.73423774809967979</v>
      </c>
      <c r="X81" s="47">
        <f t="shared" si="47"/>
        <v>0.75061942753563204</v>
      </c>
      <c r="Y81" s="47">
        <f t="shared" si="47"/>
        <v>0.76736660087575514</v>
      </c>
      <c r="Z81" s="47">
        <f t="shared" si="47"/>
        <v>0.78448742270483995</v>
      </c>
      <c r="AA81" s="47">
        <f t="shared" si="47"/>
        <v>0.8019902295457414</v>
      </c>
      <c r="AB81" s="47">
        <f t="shared" si="47"/>
        <v>0.81988354391862295</v>
      </c>
      <c r="AC81" s="47">
        <f t="shared" si="47"/>
        <v>0.83817607849076825</v>
      </c>
      <c r="AD81" s="47">
        <f t="shared" si="47"/>
        <v>0.85687674031897954</v>
      </c>
      <c r="AE81" s="47">
        <f t="shared" si="47"/>
        <v>0.8759946351866289</v>
      </c>
      <c r="AF81" s="47">
        <f t="shared" si="47"/>
        <v>0.89553907203747463</v>
      </c>
      <c r="AG81" s="47">
        <f t="shared" si="47"/>
        <v>0.91551956750840024</v>
      </c>
      <c r="AH81" s="47">
        <f t="shared" si="47"/>
        <v>0.93594585056328394</v>
      </c>
      <c r="AI81" s="47">
        <f t="shared" si="47"/>
        <v>0.95682786723025592</v>
      </c>
      <c r="AJ81" s="47">
        <f t="shared" si="47"/>
        <v>0.97817578544464889</v>
      </c>
      <c r="AK81" s="47">
        <f t="shared" si="47"/>
        <v>1</v>
      </c>
      <c r="AL81" s="47">
        <f t="shared" si="47"/>
        <v>1.0223111376095151</v>
      </c>
      <c r="AM81" s="47">
        <f t="shared" si="47"/>
        <v>1.0451200620804608</v>
      </c>
      <c r="AN81" s="47">
        <f t="shared" si="47"/>
        <v>1.0684378796040028</v>
      </c>
      <c r="AO81" s="47">
        <f t="shared" si="47"/>
        <v>1.0922759441630663</v>
      </c>
      <c r="AP81" s="47">
        <f t="shared" si="47"/>
        <v>1.1166458630608516</v>
      </c>
      <c r="AQ81" s="47">
        <f t="shared" si="47"/>
        <v>1.1415595025726979</v>
      </c>
      <c r="AR81" s="47">
        <f t="shared" si="47"/>
        <v>1.1670289937240468</v>
      </c>
      <c r="AS81" s="47">
        <f t="shared" si="47"/>
        <v>1.1930667381973179</v>
      </c>
      <c r="AT81" s="47">
        <f t="shared" si="47"/>
        <v>1.2196854143705735</v>
      </c>
      <c r="AU81" s="47">
        <f t="shared" si="47"/>
        <v>1.2468979834909137</v>
      </c>
      <c r="AV81" s="47">
        <f t="shared" si="47"/>
        <v>1.2747176959856064</v>
      </c>
      <c r="AW81" s="47">
        <f t="shared" si="47"/>
        <v>1.3031580979140251</v>
      </c>
      <c r="AX81" s="47">
        <f t="shared" si="47"/>
        <v>1.3322330375635392</v>
      </c>
      <c r="AY81" s="47">
        <f t="shared" si="47"/>
        <v>1.3619566721925613</v>
      </c>
      <c r="AZ81" s="47">
        <f t="shared" si="47"/>
        <v>1.3923434749240466</v>
      </c>
      <c r="BA81" s="47">
        <f t="shared" si="47"/>
        <v>1.4234082417927876</v>
      </c>
      <c r="BB81" s="47">
        <f t="shared" si="47"/>
        <v>1.4551660989499444</v>
      </c>
      <c r="BC81" s="47">
        <f t="shared" si="47"/>
        <v>1.4876325100283176</v>
      </c>
      <c r="BD81" s="47">
        <f t="shared" si="47"/>
        <v>1.5208232836719477</v>
      </c>
      <c r="BE81" s="47">
        <f t="shared" si="47"/>
        <v>1.5547545812337071</v>
      </c>
      <c r="BF81" s="47">
        <f t="shared" si="47"/>
        <v>1.5894429246446367</v>
      </c>
      <c r="BG81" s="47">
        <f t="shared" si="47"/>
        <v>1.624905204458853</v>
      </c>
      <c r="BH81" s="47">
        <f t="shared" si="47"/>
        <v>1.6611586880779516</v>
      </c>
      <c r="BI81" s="47">
        <f t="shared" si="47"/>
        <v>1.6982210281589003</v>
      </c>
      <c r="BJ81" s="47">
        <f t="shared" si="47"/>
        <v>1.7361102712095255</v>
      </c>
      <c r="BK81" s="47">
        <f t="shared" si="47"/>
        <v>1.7748448663757739</v>
      </c>
      <c r="BL81" s="47">
        <f t="shared" si="47"/>
        <v>1.814443674425025</v>
      </c>
      <c r="BM81" s="47">
        <f t="shared" si="47"/>
        <v>1.8549259769298359</v>
      </c>
      <c r="BN81" s="47">
        <f t="shared" si="47"/>
        <v>1.8963114856565819</v>
      </c>
      <c r="BO81" s="47">
        <f t="shared" si="47"/>
        <v>1.9386203521635696</v>
      </c>
      <c r="BP81" s="47">
        <f t="shared" si="46"/>
        <v>1.9818731776132974</v>
      </c>
      <c r="BQ81" s="47">
        <f t="shared" si="46"/>
        <v>2.0260910228036346</v>
      </c>
      <c r="BR81" s="47">
        <f t="shared" si="46"/>
        <v>2.0712954184228098</v>
      </c>
      <c r="BS81" s="47">
        <f t="shared" si="46"/>
        <v>2.1175083755331991</v>
      </c>
      <c r="BT81" s="47">
        <f t="shared" si="46"/>
        <v>2.1647523962890207</v>
      </c>
      <c r="BU81" s="47">
        <f t="shared" si="46"/>
        <v>2.2130504848931527</v>
      </c>
      <c r="BV81" s="47">
        <f t="shared" si="46"/>
        <v>2.2624261587984082</v>
      </c>
      <c r="BW81" s="47">
        <f t="shared" si="46"/>
        <v>2.3129034601587257</v>
      </c>
      <c r="BX81" s="47">
        <f t="shared" si="46"/>
        <v>2.3645069675358505</v>
      </c>
      <c r="BY81" s="47">
        <f t="shared" si="46"/>
        <v>2.4172618078672001</v>
      </c>
    </row>
    <row r="82" spans="1:77" x14ac:dyDescent="0.25">
      <c r="A82" s="116"/>
      <c r="B82" s="46">
        <v>2021</v>
      </c>
      <c r="C82" s="47">
        <f t="shared" si="30"/>
        <v>0.4619465957004017</v>
      </c>
      <c r="D82" s="47">
        <f t="shared" si="47"/>
        <v>0.47225314976532029</v>
      </c>
      <c r="E82" s="47">
        <f t="shared" si="47"/>
        <v>0.48278965477626129</v>
      </c>
      <c r="F82" s="47">
        <f t="shared" si="47"/>
        <v>0.49356124120042477</v>
      </c>
      <c r="G82" s="47">
        <f t="shared" si="47"/>
        <v>0.50457315397157054</v>
      </c>
      <c r="H82" s="47">
        <f t="shared" si="47"/>
        <v>0.51583075504389719</v>
      </c>
      <c r="I82" s="47">
        <f t="shared" si="47"/>
        <v>0.52733952600290157</v>
      </c>
      <c r="J82" s="47">
        <f t="shared" si="47"/>
        <v>0.53910507073448888</v>
      </c>
      <c r="K82" s="47">
        <f t="shared" si="47"/>
        <v>0.55113311815363342</v>
      </c>
      <c r="L82" s="47">
        <f t="shared" si="47"/>
        <v>0.56342952499392018</v>
      </c>
      <c r="M82" s="47">
        <f t="shared" si="47"/>
        <v>0.57600027865932324</v>
      </c>
      <c r="N82" s="47">
        <f t="shared" si="47"/>
        <v>0.58885150013961041</v>
      </c>
      <c r="O82" s="47">
        <f t="shared" si="47"/>
        <v>0.6019894469907946</v>
      </c>
      <c r="P82" s="47">
        <f t="shared" si="47"/>
        <v>0.61542051638208206</v>
      </c>
      <c r="Q82" s="47">
        <f t="shared" si="47"/>
        <v>0.62915124821080148</v>
      </c>
      <c r="R82" s="47">
        <f t="shared" si="47"/>
        <v>0.64318832828683092</v>
      </c>
      <c r="S82" s="47">
        <f t="shared" si="47"/>
        <v>0.65753859158807237</v>
      </c>
      <c r="T82" s="47">
        <f t="shared" si="47"/>
        <v>0.67220902558856055</v>
      </c>
      <c r="U82" s="47">
        <f t="shared" si="47"/>
        <v>0.68720677366082494</v>
      </c>
      <c r="V82" s="47">
        <f t="shared" si="47"/>
        <v>0.7025391385541625</v>
      </c>
      <c r="W82" s="47">
        <f t="shared" si="47"/>
        <v>0.71821358595051465</v>
      </c>
      <c r="X82" s="47">
        <f t="shared" si="47"/>
        <v>0.73423774809967979</v>
      </c>
      <c r="Y82" s="47">
        <f t="shared" si="47"/>
        <v>0.75061942753563204</v>
      </c>
      <c r="Z82" s="47">
        <f t="shared" si="47"/>
        <v>0.76736660087575514</v>
      </c>
      <c r="AA82" s="47">
        <f t="shared" si="47"/>
        <v>0.78448742270483995</v>
      </c>
      <c r="AB82" s="47">
        <f t="shared" si="47"/>
        <v>0.8019902295457414</v>
      </c>
      <c r="AC82" s="47">
        <f t="shared" si="47"/>
        <v>0.81988354391862295</v>
      </c>
      <c r="AD82" s="47">
        <f t="shared" si="47"/>
        <v>0.83817607849076825</v>
      </c>
      <c r="AE82" s="47">
        <f t="shared" si="47"/>
        <v>0.85687674031897954</v>
      </c>
      <c r="AF82" s="47">
        <f t="shared" si="47"/>
        <v>0.8759946351866289</v>
      </c>
      <c r="AG82" s="47">
        <f t="shared" si="47"/>
        <v>0.89553907203747463</v>
      </c>
      <c r="AH82" s="47">
        <f t="shared" si="47"/>
        <v>0.91551956750840024</v>
      </c>
      <c r="AI82" s="47">
        <f t="shared" si="47"/>
        <v>0.93594585056328394</v>
      </c>
      <c r="AJ82" s="47">
        <f t="shared" si="47"/>
        <v>0.95682786723025592</v>
      </c>
      <c r="AK82" s="47">
        <f t="shared" si="47"/>
        <v>0.97817578544464889</v>
      </c>
      <c r="AL82" s="47">
        <f t="shared" si="47"/>
        <v>1</v>
      </c>
      <c r="AM82" s="47">
        <f t="shared" si="47"/>
        <v>1.0223111376095151</v>
      </c>
      <c r="AN82" s="47">
        <f t="shared" si="47"/>
        <v>1.0451200620804608</v>
      </c>
      <c r="AO82" s="47">
        <f t="shared" si="47"/>
        <v>1.0684378796040028</v>
      </c>
      <c r="AP82" s="47">
        <f t="shared" si="47"/>
        <v>1.0922759441630663</v>
      </c>
      <c r="AQ82" s="47">
        <f t="shared" si="47"/>
        <v>1.1166458630608516</v>
      </c>
      <c r="AR82" s="47">
        <f t="shared" si="47"/>
        <v>1.1415595025726979</v>
      </c>
      <c r="AS82" s="47">
        <f t="shared" si="47"/>
        <v>1.1670289937240468</v>
      </c>
      <c r="AT82" s="47">
        <f t="shared" si="47"/>
        <v>1.1930667381973179</v>
      </c>
      <c r="AU82" s="47">
        <f t="shared" si="47"/>
        <v>1.2196854143705735</v>
      </c>
      <c r="AV82" s="47">
        <f t="shared" si="47"/>
        <v>1.2468979834909137</v>
      </c>
      <c r="AW82" s="47">
        <f t="shared" si="47"/>
        <v>1.2747176959856064</v>
      </c>
      <c r="AX82" s="47">
        <f t="shared" si="47"/>
        <v>1.3031580979140251</v>
      </c>
      <c r="AY82" s="47">
        <f t="shared" si="47"/>
        <v>1.3322330375635392</v>
      </c>
      <c r="AZ82" s="47">
        <f t="shared" si="47"/>
        <v>1.3619566721925613</v>
      </c>
      <c r="BA82" s="47">
        <f t="shared" si="47"/>
        <v>1.3923434749240466</v>
      </c>
      <c r="BB82" s="47">
        <f t="shared" si="47"/>
        <v>1.4234082417927876</v>
      </c>
      <c r="BC82" s="47">
        <f t="shared" si="47"/>
        <v>1.4551660989499444</v>
      </c>
      <c r="BD82" s="47">
        <f t="shared" si="47"/>
        <v>1.4876325100283176</v>
      </c>
      <c r="BE82" s="47">
        <f t="shared" si="47"/>
        <v>1.5208232836719477</v>
      </c>
      <c r="BF82" s="47">
        <f t="shared" si="47"/>
        <v>1.5547545812337071</v>
      </c>
      <c r="BG82" s="47">
        <f t="shared" si="47"/>
        <v>1.5894429246446367</v>
      </c>
      <c r="BH82" s="47">
        <f t="shared" si="47"/>
        <v>1.624905204458853</v>
      </c>
      <c r="BI82" s="47">
        <f t="shared" si="47"/>
        <v>1.6611586880779516</v>
      </c>
      <c r="BJ82" s="47">
        <f t="shared" si="47"/>
        <v>1.6982210281589003</v>
      </c>
      <c r="BK82" s="47">
        <f t="shared" si="47"/>
        <v>1.7361102712095255</v>
      </c>
      <c r="BL82" s="47">
        <f t="shared" si="47"/>
        <v>1.7748448663757739</v>
      </c>
      <c r="BM82" s="47">
        <f t="shared" si="47"/>
        <v>1.814443674425025</v>
      </c>
      <c r="BN82" s="47">
        <f t="shared" si="47"/>
        <v>1.8549259769298359</v>
      </c>
      <c r="BO82" s="47">
        <f t="shared" si="47"/>
        <v>1.8963114856565819</v>
      </c>
      <c r="BP82" s="47">
        <f t="shared" si="46"/>
        <v>1.9386203521635696</v>
      </c>
      <c r="BQ82" s="47">
        <f t="shared" si="46"/>
        <v>1.9818731776132974</v>
      </c>
      <c r="BR82" s="47">
        <f t="shared" si="46"/>
        <v>2.0260910228036346</v>
      </c>
      <c r="BS82" s="47">
        <f t="shared" si="46"/>
        <v>2.0712954184228098</v>
      </c>
      <c r="BT82" s="47">
        <f t="shared" si="46"/>
        <v>2.1175083755331991</v>
      </c>
      <c r="BU82" s="47">
        <f t="shared" si="46"/>
        <v>2.1647523962890207</v>
      </c>
      <c r="BV82" s="47">
        <f t="shared" si="46"/>
        <v>2.2130504848931527</v>
      </c>
      <c r="BW82" s="47">
        <f t="shared" si="46"/>
        <v>2.2624261587984082</v>
      </c>
      <c r="BX82" s="47">
        <f t="shared" si="46"/>
        <v>2.3129034601587257</v>
      </c>
      <c r="BY82" s="47">
        <f t="shared" si="46"/>
        <v>2.3645069675358505</v>
      </c>
    </row>
    <row r="83" spans="1:77" x14ac:dyDescent="0.25">
      <c r="A83" s="116"/>
      <c r="B83" s="46">
        <v>2022</v>
      </c>
      <c r="C83" s="47">
        <f t="shared" si="30"/>
        <v>0.45186497408272208</v>
      </c>
      <c r="D83" s="47">
        <f t="shared" si="47"/>
        <v>0.4619465957004017</v>
      </c>
      <c r="E83" s="47">
        <f t="shared" si="47"/>
        <v>0.47225314976532029</v>
      </c>
      <c r="F83" s="47">
        <f t="shared" si="47"/>
        <v>0.48278965477626129</v>
      </c>
      <c r="G83" s="47">
        <f t="shared" si="47"/>
        <v>0.49356124120042477</v>
      </c>
      <c r="H83" s="47">
        <f t="shared" si="47"/>
        <v>0.50457315397157054</v>
      </c>
      <c r="I83" s="47">
        <f t="shared" si="47"/>
        <v>0.51583075504389719</v>
      </c>
      <c r="J83" s="47">
        <f t="shared" si="47"/>
        <v>0.52733952600290157</v>
      </c>
      <c r="K83" s="47">
        <f t="shared" si="47"/>
        <v>0.53910507073448888</v>
      </c>
      <c r="L83" s="47">
        <f t="shared" si="47"/>
        <v>0.55113311815363342</v>
      </c>
      <c r="M83" s="47">
        <f t="shared" si="47"/>
        <v>0.56342952499392018</v>
      </c>
      <c r="N83" s="47">
        <f t="shared" si="47"/>
        <v>0.57600027865932324</v>
      </c>
      <c r="O83" s="47">
        <f t="shared" si="47"/>
        <v>0.58885150013961041</v>
      </c>
      <c r="P83" s="47">
        <f t="shared" si="47"/>
        <v>0.6019894469907946</v>
      </c>
      <c r="Q83" s="47">
        <f t="shared" si="47"/>
        <v>0.61542051638208206</v>
      </c>
      <c r="R83" s="47">
        <f t="shared" si="47"/>
        <v>0.62915124821080148</v>
      </c>
      <c r="S83" s="47">
        <f t="shared" si="47"/>
        <v>0.64318832828683092</v>
      </c>
      <c r="T83" s="47">
        <f t="shared" si="47"/>
        <v>0.65753859158807237</v>
      </c>
      <c r="U83" s="47">
        <f t="shared" si="47"/>
        <v>0.67220902558856055</v>
      </c>
      <c r="V83" s="47">
        <f t="shared" si="47"/>
        <v>0.68720677366082494</v>
      </c>
      <c r="W83" s="47">
        <f t="shared" si="47"/>
        <v>0.7025391385541625</v>
      </c>
      <c r="X83" s="47">
        <f t="shared" si="47"/>
        <v>0.71821358595051465</v>
      </c>
      <c r="Y83" s="47">
        <f t="shared" si="47"/>
        <v>0.73423774809967979</v>
      </c>
      <c r="Z83" s="47">
        <f t="shared" si="47"/>
        <v>0.75061942753563204</v>
      </c>
      <c r="AA83" s="47">
        <f t="shared" si="47"/>
        <v>0.76736660087575514</v>
      </c>
      <c r="AB83" s="47">
        <f t="shared" si="47"/>
        <v>0.78448742270483995</v>
      </c>
      <c r="AC83" s="47">
        <f t="shared" si="47"/>
        <v>0.8019902295457414</v>
      </c>
      <c r="AD83" s="47">
        <f t="shared" si="47"/>
        <v>0.81988354391862295</v>
      </c>
      <c r="AE83" s="47">
        <f t="shared" si="47"/>
        <v>0.83817607849076825</v>
      </c>
      <c r="AF83" s="47">
        <f t="shared" si="47"/>
        <v>0.85687674031897954</v>
      </c>
      <c r="AG83" s="47">
        <f t="shared" si="47"/>
        <v>0.8759946351866289</v>
      </c>
      <c r="AH83" s="47">
        <f t="shared" si="47"/>
        <v>0.89553907203747463</v>
      </c>
      <c r="AI83" s="47">
        <f t="shared" si="47"/>
        <v>0.91551956750840024</v>
      </c>
      <c r="AJ83" s="47">
        <f t="shared" si="47"/>
        <v>0.93594585056328394</v>
      </c>
      <c r="AK83" s="47">
        <f t="shared" si="47"/>
        <v>0.95682786723025592</v>
      </c>
      <c r="AL83" s="47">
        <f t="shared" si="47"/>
        <v>0.97817578544464889</v>
      </c>
      <c r="AM83" s="47">
        <f t="shared" si="47"/>
        <v>1</v>
      </c>
      <c r="AN83" s="47">
        <f t="shared" si="47"/>
        <v>1.0223111376095151</v>
      </c>
      <c r="AO83" s="47">
        <f t="shared" si="47"/>
        <v>1.0451200620804608</v>
      </c>
      <c r="AP83" s="47">
        <f t="shared" si="47"/>
        <v>1.0684378796040028</v>
      </c>
      <c r="AQ83" s="47">
        <f t="shared" si="47"/>
        <v>1.0922759441630663</v>
      </c>
      <c r="AR83" s="47">
        <f t="shared" si="47"/>
        <v>1.1166458630608516</v>
      </c>
      <c r="AS83" s="47">
        <f t="shared" si="47"/>
        <v>1.1415595025726979</v>
      </c>
      <c r="AT83" s="47">
        <f t="shared" si="47"/>
        <v>1.1670289937240468</v>
      </c>
      <c r="AU83" s="47">
        <f t="shared" si="47"/>
        <v>1.1930667381973179</v>
      </c>
      <c r="AV83" s="47">
        <f t="shared" si="47"/>
        <v>1.2196854143705735</v>
      </c>
      <c r="AW83" s="47">
        <f t="shared" si="47"/>
        <v>1.2468979834909137</v>
      </c>
      <c r="AX83" s="47">
        <f t="shared" si="47"/>
        <v>1.2747176959856064</v>
      </c>
      <c r="AY83" s="47">
        <f t="shared" si="47"/>
        <v>1.3031580979140251</v>
      </c>
      <c r="AZ83" s="47">
        <f t="shared" si="47"/>
        <v>1.3322330375635392</v>
      </c>
      <c r="BA83" s="47">
        <f t="shared" si="47"/>
        <v>1.3619566721925613</v>
      </c>
      <c r="BB83" s="47">
        <f t="shared" si="47"/>
        <v>1.3923434749240466</v>
      </c>
      <c r="BC83" s="47">
        <f t="shared" si="47"/>
        <v>1.4234082417927876</v>
      </c>
      <c r="BD83" s="47">
        <f t="shared" si="47"/>
        <v>1.4551660989499444</v>
      </c>
      <c r="BE83" s="47">
        <f t="shared" si="47"/>
        <v>1.4876325100283176</v>
      </c>
      <c r="BF83" s="47">
        <f t="shared" si="47"/>
        <v>1.5208232836719477</v>
      </c>
      <c r="BG83" s="47">
        <f t="shared" si="47"/>
        <v>1.5547545812337071</v>
      </c>
      <c r="BH83" s="47">
        <f t="shared" si="47"/>
        <v>1.5894429246446367</v>
      </c>
      <c r="BI83" s="47">
        <f t="shared" si="47"/>
        <v>1.624905204458853</v>
      </c>
      <c r="BJ83" s="47">
        <f t="shared" si="47"/>
        <v>1.6611586880779516</v>
      </c>
      <c r="BK83" s="47">
        <f t="shared" si="47"/>
        <v>1.6982210281589003</v>
      </c>
      <c r="BL83" s="47">
        <f t="shared" si="47"/>
        <v>1.7361102712095255</v>
      </c>
      <c r="BM83" s="47">
        <f t="shared" si="47"/>
        <v>1.7748448663757739</v>
      </c>
      <c r="BN83" s="47">
        <f t="shared" si="47"/>
        <v>1.814443674425025</v>
      </c>
      <c r="BO83" s="47">
        <f t="shared" si="47"/>
        <v>1.8549259769298359</v>
      </c>
      <c r="BP83" s="47">
        <f t="shared" si="46"/>
        <v>1.8963114856565819</v>
      </c>
      <c r="BQ83" s="47">
        <f t="shared" si="46"/>
        <v>1.9386203521635696</v>
      </c>
      <c r="BR83" s="47">
        <f t="shared" si="46"/>
        <v>1.9818731776132974</v>
      </c>
      <c r="BS83" s="47">
        <f t="shared" si="46"/>
        <v>2.0260910228036346</v>
      </c>
      <c r="BT83" s="47">
        <f t="shared" si="46"/>
        <v>2.0712954184228098</v>
      </c>
      <c r="BU83" s="47">
        <f t="shared" si="46"/>
        <v>2.1175083755331991</v>
      </c>
      <c r="BV83" s="47">
        <f t="shared" si="46"/>
        <v>2.1647523962890207</v>
      </c>
      <c r="BW83" s="47">
        <f t="shared" si="46"/>
        <v>2.2130504848931527</v>
      </c>
      <c r="BX83" s="47">
        <f t="shared" si="46"/>
        <v>2.2624261587984082</v>
      </c>
      <c r="BY83" s="47">
        <f t="shared" si="46"/>
        <v>2.3129034601587257</v>
      </c>
    </row>
    <row r="84" spans="1:77" x14ac:dyDescent="0.25">
      <c r="A84" s="116"/>
      <c r="B84" s="46">
        <v>2023</v>
      </c>
      <c r="C84" s="47">
        <f t="shared" si="30"/>
        <v>0.44200337593829253</v>
      </c>
      <c r="D84" s="47">
        <f t="shared" si="47"/>
        <v>0.45186497408272208</v>
      </c>
      <c r="E84" s="47">
        <f t="shared" si="47"/>
        <v>0.4619465957004017</v>
      </c>
      <c r="F84" s="47">
        <f t="shared" si="47"/>
        <v>0.47225314976532029</v>
      </c>
      <c r="G84" s="47">
        <f t="shared" si="47"/>
        <v>0.48278965477626129</v>
      </c>
      <c r="H84" s="47">
        <f t="shared" si="47"/>
        <v>0.49356124120042477</v>
      </c>
      <c r="I84" s="47">
        <f t="shared" si="47"/>
        <v>0.50457315397157054</v>
      </c>
      <c r="J84" s="47">
        <f t="shared" si="47"/>
        <v>0.51583075504389719</v>
      </c>
      <c r="K84" s="47">
        <f t="shared" si="47"/>
        <v>0.52733952600290157</v>
      </c>
      <c r="L84" s="47">
        <f t="shared" si="47"/>
        <v>0.53910507073448888</v>
      </c>
      <c r="M84" s="47">
        <f t="shared" si="47"/>
        <v>0.55113311815363342</v>
      </c>
      <c r="N84" s="47">
        <f t="shared" si="47"/>
        <v>0.56342952499392018</v>
      </c>
      <c r="O84" s="47">
        <f t="shared" si="47"/>
        <v>0.57600027865932324</v>
      </c>
      <c r="P84" s="47">
        <f t="shared" si="47"/>
        <v>0.58885150013961041</v>
      </c>
      <c r="Q84" s="47">
        <f t="shared" si="47"/>
        <v>0.6019894469907946</v>
      </c>
      <c r="R84" s="47">
        <f t="shared" si="47"/>
        <v>0.61542051638208206</v>
      </c>
      <c r="S84" s="47">
        <f t="shared" si="47"/>
        <v>0.62915124821080148</v>
      </c>
      <c r="T84" s="47">
        <f t="shared" si="47"/>
        <v>0.64318832828683092</v>
      </c>
      <c r="U84" s="47">
        <f t="shared" si="47"/>
        <v>0.65753859158807237</v>
      </c>
      <c r="V84" s="47">
        <f t="shared" si="47"/>
        <v>0.67220902558856055</v>
      </c>
      <c r="W84" s="47">
        <f t="shared" si="47"/>
        <v>0.68720677366082494</v>
      </c>
      <c r="X84" s="47">
        <f t="shared" si="47"/>
        <v>0.7025391385541625</v>
      </c>
      <c r="Y84" s="47">
        <f t="shared" si="47"/>
        <v>0.71821358595051465</v>
      </c>
      <c r="Z84" s="47">
        <f t="shared" si="47"/>
        <v>0.73423774809967979</v>
      </c>
      <c r="AA84" s="47">
        <f t="shared" si="47"/>
        <v>0.75061942753563204</v>
      </c>
      <c r="AB84" s="47">
        <f t="shared" si="47"/>
        <v>0.76736660087575514</v>
      </c>
      <c r="AC84" s="47">
        <f t="shared" si="47"/>
        <v>0.78448742270483995</v>
      </c>
      <c r="AD84" s="47">
        <f t="shared" si="47"/>
        <v>0.8019902295457414</v>
      </c>
      <c r="AE84" s="47">
        <f t="shared" si="47"/>
        <v>0.81988354391862295</v>
      </c>
      <c r="AF84" s="47">
        <f t="shared" si="47"/>
        <v>0.83817607849076825</v>
      </c>
      <c r="AG84" s="47">
        <f t="shared" si="47"/>
        <v>0.85687674031897954</v>
      </c>
      <c r="AH84" s="47">
        <f t="shared" si="47"/>
        <v>0.8759946351866289</v>
      </c>
      <c r="AI84" s="47">
        <f t="shared" si="47"/>
        <v>0.89553907203747463</v>
      </c>
      <c r="AJ84" s="47">
        <f t="shared" si="47"/>
        <v>0.91551956750840024</v>
      </c>
      <c r="AK84" s="47">
        <f t="shared" si="47"/>
        <v>0.93594585056328394</v>
      </c>
      <c r="AL84" s="47">
        <f t="shared" si="47"/>
        <v>0.95682786723025592</v>
      </c>
      <c r="AM84" s="47">
        <f t="shared" si="47"/>
        <v>0.97817578544464889</v>
      </c>
      <c r="AN84" s="47">
        <f t="shared" si="47"/>
        <v>1</v>
      </c>
      <c r="AO84" s="47">
        <f t="shared" si="47"/>
        <v>1.0223111376095151</v>
      </c>
      <c r="AP84" s="47">
        <f t="shared" si="47"/>
        <v>1.0451200620804608</v>
      </c>
      <c r="AQ84" s="47">
        <f t="shared" si="47"/>
        <v>1.0684378796040028</v>
      </c>
      <c r="AR84" s="47">
        <f t="shared" si="47"/>
        <v>1.0922759441630663</v>
      </c>
      <c r="AS84" s="47">
        <f t="shared" si="47"/>
        <v>1.1166458630608516</v>
      </c>
      <c r="AT84" s="47">
        <f t="shared" si="47"/>
        <v>1.1415595025726979</v>
      </c>
      <c r="AU84" s="47">
        <f t="shared" si="47"/>
        <v>1.1670289937240468</v>
      </c>
      <c r="AV84" s="47">
        <f t="shared" si="47"/>
        <v>1.1930667381973179</v>
      </c>
      <c r="AW84" s="47">
        <f t="shared" si="47"/>
        <v>1.2196854143705735</v>
      </c>
      <c r="AX84" s="47">
        <f t="shared" si="47"/>
        <v>1.2468979834909137</v>
      </c>
      <c r="AY84" s="47">
        <f t="shared" si="47"/>
        <v>1.2747176959856064</v>
      </c>
      <c r="AZ84" s="47">
        <f t="shared" si="47"/>
        <v>1.3031580979140251</v>
      </c>
      <c r="BA84" s="47">
        <f t="shared" si="47"/>
        <v>1.3322330375635392</v>
      </c>
      <c r="BB84" s="47">
        <f t="shared" si="47"/>
        <v>1.3619566721925613</v>
      </c>
      <c r="BC84" s="47">
        <f t="shared" si="47"/>
        <v>1.3923434749240466</v>
      </c>
      <c r="BD84" s="47">
        <f t="shared" si="47"/>
        <v>1.4234082417927876</v>
      </c>
      <c r="BE84" s="47">
        <f t="shared" si="47"/>
        <v>1.4551660989499444</v>
      </c>
      <c r="BF84" s="47">
        <f t="shared" si="47"/>
        <v>1.4876325100283176</v>
      </c>
      <c r="BG84" s="47">
        <f t="shared" si="47"/>
        <v>1.5208232836719477</v>
      </c>
      <c r="BH84" s="47">
        <f t="shared" si="47"/>
        <v>1.5547545812337071</v>
      </c>
      <c r="BI84" s="47">
        <f t="shared" si="47"/>
        <v>1.5894429246446367</v>
      </c>
      <c r="BJ84" s="47">
        <f t="shared" si="47"/>
        <v>1.624905204458853</v>
      </c>
      <c r="BK84" s="47">
        <f t="shared" si="47"/>
        <v>1.6611586880779516</v>
      </c>
      <c r="BL84" s="47">
        <f t="shared" si="47"/>
        <v>1.6982210281589003</v>
      </c>
      <c r="BM84" s="47">
        <f t="shared" si="47"/>
        <v>1.7361102712095255</v>
      </c>
      <c r="BN84" s="47">
        <f t="shared" si="47"/>
        <v>1.7748448663757739</v>
      </c>
      <c r="BO84" s="47">
        <f t="shared" ref="D84:BO85" si="48">(1+$F$44)^(BO$46-$B84)</f>
        <v>1.814443674425025</v>
      </c>
      <c r="BP84" s="47">
        <f t="shared" si="46"/>
        <v>1.8549259769298359</v>
      </c>
      <c r="BQ84" s="47">
        <f t="shared" si="46"/>
        <v>1.8963114856565819</v>
      </c>
      <c r="BR84" s="47">
        <f t="shared" si="46"/>
        <v>1.9386203521635696</v>
      </c>
      <c r="BS84" s="47">
        <f t="shared" si="46"/>
        <v>1.9818731776132974</v>
      </c>
      <c r="BT84" s="47">
        <f t="shared" si="46"/>
        <v>2.0260910228036346</v>
      </c>
      <c r="BU84" s="47">
        <f t="shared" si="46"/>
        <v>2.0712954184228098</v>
      </c>
      <c r="BV84" s="47">
        <f t="shared" si="46"/>
        <v>2.1175083755331991</v>
      </c>
      <c r="BW84" s="47">
        <f t="shared" si="46"/>
        <v>2.1647523962890207</v>
      </c>
      <c r="BX84" s="47">
        <f t="shared" si="46"/>
        <v>2.2130504848931527</v>
      </c>
      <c r="BY84" s="47">
        <f t="shared" si="46"/>
        <v>2.2624261587984082</v>
      </c>
    </row>
    <row r="85" spans="1:77" x14ac:dyDescent="0.25">
      <c r="A85" s="116"/>
      <c r="B85" s="46">
        <v>2024</v>
      </c>
      <c r="C85" s="47">
        <f t="shared" ref="C85" si="49">(1+$F$44)^(C$46-$B85)</f>
        <v>0.43235699942762584</v>
      </c>
      <c r="D85" s="47">
        <f t="shared" si="48"/>
        <v>0.44200337593829253</v>
      </c>
      <c r="E85" s="47">
        <f t="shared" si="48"/>
        <v>0.45186497408272208</v>
      </c>
      <c r="F85" s="47">
        <f t="shared" si="48"/>
        <v>0.4619465957004017</v>
      </c>
      <c r="G85" s="47">
        <f t="shared" si="48"/>
        <v>0.47225314976532029</v>
      </c>
      <c r="H85" s="47">
        <f t="shared" si="48"/>
        <v>0.48278965477626129</v>
      </c>
      <c r="I85" s="47">
        <f t="shared" si="48"/>
        <v>0.49356124120042477</v>
      </c>
      <c r="J85" s="47">
        <f t="shared" si="48"/>
        <v>0.50457315397157054</v>
      </c>
      <c r="K85" s="47">
        <f t="shared" si="48"/>
        <v>0.51583075504389719</v>
      </c>
      <c r="L85" s="47">
        <f t="shared" si="48"/>
        <v>0.52733952600290157</v>
      </c>
      <c r="M85" s="47">
        <f t="shared" si="48"/>
        <v>0.53910507073448888</v>
      </c>
      <c r="N85" s="47">
        <f t="shared" si="48"/>
        <v>0.55113311815363342</v>
      </c>
      <c r="O85" s="47">
        <f t="shared" si="48"/>
        <v>0.56342952499392018</v>
      </c>
      <c r="P85" s="47">
        <f t="shared" si="48"/>
        <v>0.57600027865932324</v>
      </c>
      <c r="Q85" s="47">
        <f t="shared" si="48"/>
        <v>0.58885150013961041</v>
      </c>
      <c r="R85" s="47">
        <f t="shared" si="48"/>
        <v>0.6019894469907946</v>
      </c>
      <c r="S85" s="47">
        <f t="shared" si="48"/>
        <v>0.61542051638208206</v>
      </c>
      <c r="T85" s="47">
        <f t="shared" si="48"/>
        <v>0.62915124821080148</v>
      </c>
      <c r="U85" s="47">
        <f t="shared" si="48"/>
        <v>0.64318832828683092</v>
      </c>
      <c r="V85" s="47">
        <f t="shared" si="48"/>
        <v>0.65753859158807237</v>
      </c>
      <c r="W85" s="47">
        <f t="shared" si="48"/>
        <v>0.67220902558856055</v>
      </c>
      <c r="X85" s="47">
        <f t="shared" si="48"/>
        <v>0.68720677366082494</v>
      </c>
      <c r="Y85" s="47">
        <f t="shared" si="48"/>
        <v>0.7025391385541625</v>
      </c>
      <c r="Z85" s="47">
        <f t="shared" si="48"/>
        <v>0.71821358595051465</v>
      </c>
      <c r="AA85" s="47">
        <f t="shared" si="48"/>
        <v>0.73423774809967979</v>
      </c>
      <c r="AB85" s="47">
        <f t="shared" si="48"/>
        <v>0.75061942753563204</v>
      </c>
      <c r="AC85" s="47">
        <f t="shared" si="48"/>
        <v>0.76736660087575514</v>
      </c>
      <c r="AD85" s="47">
        <f t="shared" si="48"/>
        <v>0.78448742270483995</v>
      </c>
      <c r="AE85" s="47">
        <f t="shared" si="48"/>
        <v>0.8019902295457414</v>
      </c>
      <c r="AF85" s="47">
        <f t="shared" si="48"/>
        <v>0.81988354391862295</v>
      </c>
      <c r="AG85" s="47">
        <f t="shared" si="48"/>
        <v>0.83817607849076825</v>
      </c>
      <c r="AH85" s="47">
        <f t="shared" si="48"/>
        <v>0.85687674031897954</v>
      </c>
      <c r="AI85" s="47">
        <f t="shared" si="48"/>
        <v>0.8759946351866289</v>
      </c>
      <c r="AJ85" s="47">
        <f t="shared" si="48"/>
        <v>0.89553907203747463</v>
      </c>
      <c r="AK85" s="47">
        <f t="shared" si="48"/>
        <v>0.91551956750840024</v>
      </c>
      <c r="AL85" s="47">
        <f t="shared" si="48"/>
        <v>0.93594585056328394</v>
      </c>
      <c r="AM85" s="47">
        <f t="shared" si="48"/>
        <v>0.95682786723025592</v>
      </c>
      <c r="AN85" s="47">
        <f t="shared" si="48"/>
        <v>0.97817578544464889</v>
      </c>
      <c r="AO85" s="47">
        <f t="shared" si="48"/>
        <v>1</v>
      </c>
      <c r="AP85" s="47">
        <f t="shared" si="48"/>
        <v>1.0223111376095151</v>
      </c>
      <c r="AQ85" s="47">
        <f t="shared" si="48"/>
        <v>1.0451200620804608</v>
      </c>
      <c r="AR85" s="47">
        <f t="shared" si="48"/>
        <v>1.0684378796040028</v>
      </c>
      <c r="AS85" s="47">
        <f t="shared" si="48"/>
        <v>1.0922759441630663</v>
      </c>
      <c r="AT85" s="47">
        <f t="shared" si="48"/>
        <v>1.1166458630608516</v>
      </c>
      <c r="AU85" s="47">
        <f t="shared" si="48"/>
        <v>1.1415595025726979</v>
      </c>
      <c r="AV85" s="47">
        <f t="shared" si="48"/>
        <v>1.1670289937240468</v>
      </c>
      <c r="AW85" s="47">
        <f t="shared" si="48"/>
        <v>1.1930667381973179</v>
      </c>
      <c r="AX85" s="47">
        <f t="shared" si="48"/>
        <v>1.2196854143705735</v>
      </c>
      <c r="AY85" s="47">
        <f t="shared" si="48"/>
        <v>1.2468979834909137</v>
      </c>
      <c r="AZ85" s="47">
        <f t="shared" si="48"/>
        <v>1.2747176959856064</v>
      </c>
      <c r="BA85" s="47">
        <f t="shared" si="48"/>
        <v>1.3031580979140251</v>
      </c>
      <c r="BB85" s="47">
        <f t="shared" si="48"/>
        <v>1.3322330375635392</v>
      </c>
      <c r="BC85" s="47">
        <f t="shared" si="48"/>
        <v>1.3619566721925613</v>
      </c>
      <c r="BD85" s="47">
        <f t="shared" si="48"/>
        <v>1.3923434749240466</v>
      </c>
      <c r="BE85" s="47">
        <f t="shared" si="48"/>
        <v>1.4234082417927876</v>
      </c>
      <c r="BF85" s="47">
        <f t="shared" si="48"/>
        <v>1.4551660989499444</v>
      </c>
      <c r="BG85" s="47">
        <f t="shared" si="48"/>
        <v>1.4876325100283176</v>
      </c>
      <c r="BH85" s="47">
        <f t="shared" si="48"/>
        <v>1.5208232836719477</v>
      </c>
      <c r="BI85" s="47">
        <f t="shared" si="48"/>
        <v>1.5547545812337071</v>
      </c>
      <c r="BJ85" s="47">
        <f t="shared" si="48"/>
        <v>1.5894429246446367</v>
      </c>
      <c r="BK85" s="47">
        <f t="shared" si="48"/>
        <v>1.624905204458853</v>
      </c>
      <c r="BL85" s="47">
        <f t="shared" si="48"/>
        <v>1.6611586880779516</v>
      </c>
      <c r="BM85" s="47">
        <f t="shared" si="48"/>
        <v>1.6982210281589003</v>
      </c>
      <c r="BN85" s="47">
        <f t="shared" si="48"/>
        <v>1.7361102712095255</v>
      </c>
      <c r="BO85" s="47">
        <f t="shared" si="48"/>
        <v>1.7748448663757739</v>
      </c>
      <c r="BP85" s="47">
        <f t="shared" si="46"/>
        <v>1.814443674425025</v>
      </c>
      <c r="BQ85" s="47">
        <f t="shared" si="46"/>
        <v>1.8549259769298359</v>
      </c>
      <c r="BR85" s="47">
        <f t="shared" si="46"/>
        <v>1.8963114856565819</v>
      </c>
      <c r="BS85" s="47">
        <f t="shared" si="46"/>
        <v>1.9386203521635696</v>
      </c>
      <c r="BT85" s="47">
        <f t="shared" si="46"/>
        <v>1.9818731776132974</v>
      </c>
      <c r="BU85" s="47">
        <f t="shared" si="46"/>
        <v>2.0260910228036346</v>
      </c>
      <c r="BV85" s="47">
        <f t="shared" si="46"/>
        <v>2.0712954184228098</v>
      </c>
      <c r="BW85" s="47">
        <f t="shared" si="46"/>
        <v>2.1175083755331991</v>
      </c>
      <c r="BX85" s="47">
        <f t="shared" si="46"/>
        <v>2.1647523962890207</v>
      </c>
      <c r="BY85" s="47">
        <f t="shared" si="46"/>
        <v>2.2130504848931527</v>
      </c>
    </row>
  </sheetData>
  <sheetProtection algorithmName="SHA-512" hashValue="5Zv9++T9/Orke/jtS5Ru6LRLepNxGi6OVtcKo4TTJpKsq9CRPt8YLLfPbuLFi6j1CjF1I26fGbNAjFgoJscLKg==" saltValue="W4ZA7ebX7uWHmjEHwV82ag==" spinCount="100000" sheet="1" objects="1" scenarios="1"/>
  <mergeCells count="2">
    <mergeCell ref="A47:A85"/>
    <mergeCell ref="A4:A4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945E6-5AD0-4820-9B81-DA2614C383CF}">
  <dimension ref="A1"/>
  <sheetViews>
    <sheetView workbookViewId="0">
      <selection activeCell="H42" sqref="H42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A26"/>
  <sheetViews>
    <sheetView showGridLines="0" workbookViewId="0">
      <selection activeCell="E9" sqref="E9"/>
    </sheetView>
  </sheetViews>
  <sheetFormatPr defaultRowHeight="15" x14ac:dyDescent="0.25"/>
  <sheetData>
    <row r="2" spans="1:1" x14ac:dyDescent="0.25">
      <c r="A2" s="1" t="s">
        <v>8</v>
      </c>
    </row>
    <row r="3" spans="1:1" x14ac:dyDescent="0.25">
      <c r="A3" s="2" t="s">
        <v>25</v>
      </c>
    </row>
    <row r="4" spans="1:1" x14ac:dyDescent="0.25">
      <c r="A4" s="2" t="s">
        <v>26</v>
      </c>
    </row>
    <row r="5" spans="1:1" x14ac:dyDescent="0.25">
      <c r="A5" s="2" t="s">
        <v>61</v>
      </c>
    </row>
    <row r="7" spans="1:1" x14ac:dyDescent="0.25">
      <c r="A7" s="1" t="s">
        <v>27</v>
      </c>
    </row>
    <row r="8" spans="1:1" x14ac:dyDescent="0.25">
      <c r="A8" s="2" t="s">
        <v>25</v>
      </c>
    </row>
    <row r="9" spans="1:1" x14ac:dyDescent="0.25">
      <c r="A9" s="2" t="s">
        <v>62</v>
      </c>
    </row>
    <row r="10" spans="1:1" x14ac:dyDescent="0.25">
      <c r="A10" s="2" t="s">
        <v>61</v>
      </c>
    </row>
    <row r="12" spans="1:1" x14ac:dyDescent="0.25">
      <c r="A12" s="93" t="s">
        <v>28</v>
      </c>
    </row>
    <row r="13" spans="1:1" x14ac:dyDescent="0.25">
      <c r="A13" s="2" t="s">
        <v>730</v>
      </c>
    </row>
    <row r="14" spans="1:1" x14ac:dyDescent="0.25">
      <c r="A14" s="2" t="s">
        <v>729</v>
      </c>
    </row>
    <row r="15" spans="1:1" x14ac:dyDescent="0.25">
      <c r="A15" s="2" t="s">
        <v>728</v>
      </c>
    </row>
    <row r="17" spans="1:1" x14ac:dyDescent="0.25">
      <c r="A17" s="1" t="s">
        <v>12</v>
      </c>
    </row>
    <row r="18" spans="1:1" x14ac:dyDescent="0.25">
      <c r="A18" s="2" t="s">
        <v>25</v>
      </c>
    </row>
    <row r="19" spans="1:1" x14ac:dyDescent="0.25">
      <c r="A19" s="2" t="s">
        <v>29</v>
      </c>
    </row>
    <row r="20" spans="1:1" x14ac:dyDescent="0.25">
      <c r="A20" s="86"/>
    </row>
    <row r="22" spans="1:1" x14ac:dyDescent="0.25">
      <c r="A22" s="93" t="s">
        <v>63</v>
      </c>
    </row>
    <row r="23" spans="1:1" x14ac:dyDescent="0.25">
      <c r="A23" s="2" t="s">
        <v>731</v>
      </c>
    </row>
    <row r="24" spans="1:1" x14ac:dyDescent="0.25">
      <c r="A24" s="2"/>
    </row>
    <row r="26" spans="1:1" x14ac:dyDescent="0.25">
      <c r="A26" s="2"/>
    </row>
  </sheetData>
  <sheetProtection algorithmName="SHA-512" hashValue="0nkBGBh/FvGzKkXOyiaiRQ3DAt2H20jbNEC8TZ27kw1bpldu2U7HuPYZU2RWH0MBLsqupkYLBVatoTREGRrWpQ==" saltValue="s2+0v2Cf5wSFkWadbjyFZg==" spinCount="100000" sheet="1" objects="1" scenario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44FF2-288D-47D3-9348-8906CBF96A79}">
  <sheetPr codeName="Sheet5"/>
  <dimension ref="A1:AA299"/>
  <sheetViews>
    <sheetView showGridLines="0" workbookViewId="0">
      <selection activeCell="C10" sqref="C10"/>
    </sheetView>
  </sheetViews>
  <sheetFormatPr defaultRowHeight="12.75" x14ac:dyDescent="0.2"/>
  <cols>
    <col min="1" max="1" width="32" style="88" bestFit="1" customWidth="1"/>
    <col min="2" max="2" width="28.28515625" style="88" bestFit="1" customWidth="1"/>
    <col min="3" max="3" width="24.85546875" style="88" bestFit="1" customWidth="1"/>
    <col min="4" max="4" width="11" style="88" bestFit="1" customWidth="1"/>
    <col min="5" max="5" width="17.42578125" style="88" bestFit="1" customWidth="1"/>
    <col min="6" max="6" width="19.42578125" style="88" bestFit="1" customWidth="1"/>
    <col min="7" max="7" width="14.42578125" style="88" bestFit="1" customWidth="1"/>
    <col min="8" max="8" width="16.42578125" style="88" bestFit="1" customWidth="1"/>
    <col min="9" max="9" width="28.7109375" style="88" bestFit="1" customWidth="1"/>
    <col min="10" max="10" width="30.7109375" style="88" bestFit="1" customWidth="1"/>
    <col min="11" max="11" width="44.42578125" style="88" bestFit="1" customWidth="1"/>
    <col min="12" max="12" width="17.85546875" style="88" bestFit="1" customWidth="1"/>
    <col min="13" max="14" width="11.85546875" style="88" bestFit="1" customWidth="1"/>
    <col min="15" max="15" width="12.42578125" style="88" bestFit="1" customWidth="1"/>
    <col min="16" max="16" width="23.28515625" style="88" bestFit="1" customWidth="1"/>
    <col min="17" max="17" width="20" style="88" bestFit="1" customWidth="1"/>
    <col min="18" max="18" width="23.85546875" style="88" bestFit="1" customWidth="1"/>
    <col min="19" max="19" width="13.42578125" style="88" bestFit="1" customWidth="1"/>
    <col min="20" max="20" width="11.85546875" style="88" bestFit="1" customWidth="1"/>
    <col min="21" max="21" width="22" style="88" bestFit="1" customWidth="1"/>
    <col min="22" max="22" width="18.7109375" style="88" bestFit="1" customWidth="1"/>
    <col min="23" max="23" width="25.42578125" style="88" bestFit="1" customWidth="1"/>
    <col min="24" max="24" width="12.28515625" style="88" bestFit="1" customWidth="1"/>
    <col min="25" max="26" width="11.85546875" style="88" bestFit="1" customWidth="1"/>
    <col min="27" max="27" width="15.7109375" style="88" bestFit="1" customWidth="1"/>
    <col min="28" max="16384" width="9.140625" style="88"/>
  </cols>
  <sheetData>
    <row r="1" spans="1:27" x14ac:dyDescent="0.2">
      <c r="A1" s="119" t="s">
        <v>73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</row>
    <row r="2" spans="1:27" ht="45" x14ac:dyDescent="0.2">
      <c r="A2" s="89" t="s">
        <v>41</v>
      </c>
      <c r="B2" s="89" t="s">
        <v>74</v>
      </c>
      <c r="C2" s="89" t="s">
        <v>75</v>
      </c>
      <c r="D2" s="89" t="s">
        <v>76</v>
      </c>
      <c r="E2" s="89" t="s">
        <v>77</v>
      </c>
      <c r="F2" s="89" t="s">
        <v>78</v>
      </c>
      <c r="G2" s="89" t="s">
        <v>79</v>
      </c>
      <c r="H2" s="89" t="s">
        <v>80</v>
      </c>
      <c r="I2" s="89" t="s">
        <v>81</v>
      </c>
      <c r="J2" s="89" t="s">
        <v>82</v>
      </c>
      <c r="K2" s="89" t="s">
        <v>83</v>
      </c>
      <c r="L2" s="89" t="s">
        <v>84</v>
      </c>
      <c r="M2" s="89" t="s">
        <v>85</v>
      </c>
      <c r="N2" s="89" t="s">
        <v>86</v>
      </c>
      <c r="O2" s="89" t="s">
        <v>87</v>
      </c>
      <c r="P2" s="89" t="s">
        <v>88</v>
      </c>
      <c r="Q2" s="89" t="s">
        <v>89</v>
      </c>
      <c r="R2" s="89" t="s">
        <v>90</v>
      </c>
      <c r="S2" s="89" t="s">
        <v>91</v>
      </c>
      <c r="T2" s="89" t="s">
        <v>92</v>
      </c>
      <c r="U2" s="89" t="s">
        <v>93</v>
      </c>
      <c r="V2" s="89" t="s">
        <v>94</v>
      </c>
      <c r="W2" s="89" t="s">
        <v>95</v>
      </c>
      <c r="X2" s="89" t="s">
        <v>96</v>
      </c>
      <c r="Y2" s="89" t="s">
        <v>97</v>
      </c>
      <c r="Z2" s="89" t="s">
        <v>98</v>
      </c>
      <c r="AA2" s="89" t="s">
        <v>60</v>
      </c>
    </row>
    <row r="3" spans="1:27" ht="15" x14ac:dyDescent="0.25">
      <c r="A3" s="88" t="s">
        <v>99</v>
      </c>
      <c r="B3" s="88" t="s">
        <v>100</v>
      </c>
      <c r="C3" s="88" t="s">
        <v>101</v>
      </c>
      <c r="D3" s="90" t="s">
        <v>102</v>
      </c>
      <c r="E3" s="90" t="s">
        <v>102</v>
      </c>
      <c r="F3" s="90" t="s">
        <v>103</v>
      </c>
      <c r="G3" s="90" t="s">
        <v>102</v>
      </c>
      <c r="H3" s="90" t="s">
        <v>104</v>
      </c>
      <c r="I3" s="90" t="s">
        <v>102</v>
      </c>
      <c r="J3" s="90" t="s">
        <v>105</v>
      </c>
      <c r="K3" s="90" t="s">
        <v>102</v>
      </c>
      <c r="L3" s="90" t="s">
        <v>106</v>
      </c>
      <c r="M3" s="90" t="s">
        <v>102</v>
      </c>
      <c r="N3" s="90" t="s">
        <v>102</v>
      </c>
      <c r="O3" s="90" t="s">
        <v>102</v>
      </c>
      <c r="P3" s="90" t="s">
        <v>107</v>
      </c>
      <c r="Q3" s="90" t="s">
        <v>108</v>
      </c>
      <c r="R3" s="90" t="s">
        <v>109</v>
      </c>
      <c r="S3" s="90" t="s">
        <v>102</v>
      </c>
      <c r="T3" s="90" t="s">
        <v>102</v>
      </c>
      <c r="U3" s="90" t="s">
        <v>110</v>
      </c>
      <c r="V3" s="90" t="s">
        <v>102</v>
      </c>
      <c r="W3" s="90" t="s">
        <v>102</v>
      </c>
      <c r="X3" s="90" t="s">
        <v>102</v>
      </c>
      <c r="Y3" s="90" t="s">
        <v>102</v>
      </c>
      <c r="Z3" s="90" t="s">
        <v>102</v>
      </c>
      <c r="AA3" s="90" t="s">
        <v>102</v>
      </c>
    </row>
    <row r="4" spans="1:27" ht="15" x14ac:dyDescent="0.25">
      <c r="A4" s="88" t="s">
        <v>99</v>
      </c>
      <c r="B4" s="88" t="s">
        <v>111</v>
      </c>
      <c r="C4" s="88" t="s">
        <v>101</v>
      </c>
      <c r="D4" s="90" t="s">
        <v>102</v>
      </c>
      <c r="E4" s="90" t="s">
        <v>102</v>
      </c>
      <c r="F4" s="90" t="s">
        <v>112</v>
      </c>
      <c r="G4" s="90" t="s">
        <v>102</v>
      </c>
      <c r="H4" s="90" t="s">
        <v>113</v>
      </c>
      <c r="I4" s="90" t="s">
        <v>102</v>
      </c>
      <c r="J4" s="90" t="s">
        <v>114</v>
      </c>
      <c r="K4" s="90" t="s">
        <v>102</v>
      </c>
      <c r="L4" s="90" t="s">
        <v>115</v>
      </c>
      <c r="M4" s="90" t="s">
        <v>102</v>
      </c>
      <c r="N4" s="90" t="s">
        <v>102</v>
      </c>
      <c r="O4" s="90" t="s">
        <v>102</v>
      </c>
      <c r="P4" s="90" t="s">
        <v>116</v>
      </c>
      <c r="Q4" s="90" t="s">
        <v>102</v>
      </c>
      <c r="R4" s="90" t="s">
        <v>102</v>
      </c>
      <c r="S4" s="90" t="s">
        <v>102</v>
      </c>
      <c r="T4" s="90" t="s">
        <v>102</v>
      </c>
      <c r="U4" s="90" t="s">
        <v>102</v>
      </c>
      <c r="V4" s="90" t="s">
        <v>102</v>
      </c>
      <c r="W4" s="90" t="s">
        <v>117</v>
      </c>
      <c r="X4" s="90" t="s">
        <v>102</v>
      </c>
      <c r="Y4" s="90" t="s">
        <v>102</v>
      </c>
      <c r="Z4" s="90" t="s">
        <v>102</v>
      </c>
      <c r="AA4" s="90" t="s">
        <v>102</v>
      </c>
    </row>
    <row r="5" spans="1:27" ht="15" x14ac:dyDescent="0.25">
      <c r="A5" s="88" t="s">
        <v>99</v>
      </c>
      <c r="B5" s="88" t="s">
        <v>118</v>
      </c>
      <c r="C5" s="88" t="s">
        <v>101</v>
      </c>
      <c r="D5" s="90" t="s">
        <v>102</v>
      </c>
      <c r="E5" s="90" t="s">
        <v>102</v>
      </c>
      <c r="F5" s="90" t="s">
        <v>119</v>
      </c>
      <c r="G5" s="90" t="s">
        <v>102</v>
      </c>
      <c r="H5" s="90" t="s">
        <v>112</v>
      </c>
      <c r="I5" s="90" t="s">
        <v>102</v>
      </c>
      <c r="J5" s="90" t="s">
        <v>113</v>
      </c>
      <c r="K5" s="90" t="s">
        <v>102</v>
      </c>
      <c r="L5" s="90" t="s">
        <v>114</v>
      </c>
      <c r="M5" s="90" t="s">
        <v>102</v>
      </c>
      <c r="N5" s="90" t="s">
        <v>102</v>
      </c>
      <c r="O5" s="90" t="s">
        <v>102</v>
      </c>
      <c r="P5" s="90" t="s">
        <v>116</v>
      </c>
      <c r="Q5" s="90" t="s">
        <v>120</v>
      </c>
      <c r="R5" s="90" t="s">
        <v>121</v>
      </c>
      <c r="S5" s="90" t="s">
        <v>117</v>
      </c>
      <c r="T5" s="90" t="s">
        <v>102</v>
      </c>
      <c r="U5" s="90" t="s">
        <v>122</v>
      </c>
      <c r="V5" s="90" t="s">
        <v>102</v>
      </c>
      <c r="W5" s="90" t="s">
        <v>117</v>
      </c>
      <c r="X5" s="90" t="s">
        <v>102</v>
      </c>
      <c r="Y5" s="90" t="s">
        <v>102</v>
      </c>
      <c r="Z5" s="90" t="s">
        <v>102</v>
      </c>
      <c r="AA5" s="90" t="s">
        <v>102</v>
      </c>
    </row>
    <row r="6" spans="1:27" ht="15" x14ac:dyDescent="0.25">
      <c r="A6" s="88" t="s">
        <v>99</v>
      </c>
      <c r="B6" s="88" t="s">
        <v>123</v>
      </c>
      <c r="C6" s="88" t="s">
        <v>101</v>
      </c>
      <c r="D6" s="90" t="s">
        <v>102</v>
      </c>
      <c r="E6" s="90" t="s">
        <v>102</v>
      </c>
      <c r="F6" s="90" t="s">
        <v>124</v>
      </c>
      <c r="G6" s="90" t="s">
        <v>102</v>
      </c>
      <c r="H6" s="90" t="s">
        <v>125</v>
      </c>
      <c r="I6" s="90" t="s">
        <v>102</v>
      </c>
      <c r="J6" s="90" t="s">
        <v>126</v>
      </c>
      <c r="K6" s="90" t="s">
        <v>102</v>
      </c>
      <c r="L6" s="90" t="s">
        <v>127</v>
      </c>
      <c r="M6" s="90" t="s">
        <v>102</v>
      </c>
      <c r="N6" s="90" t="s">
        <v>102</v>
      </c>
      <c r="O6" s="90" t="s">
        <v>102</v>
      </c>
      <c r="P6" s="90" t="s">
        <v>117</v>
      </c>
      <c r="Q6" s="90" t="s">
        <v>117</v>
      </c>
      <c r="R6" s="90" t="s">
        <v>117</v>
      </c>
      <c r="S6" s="90" t="s">
        <v>128</v>
      </c>
      <c r="T6" s="90" t="s">
        <v>102</v>
      </c>
      <c r="U6" s="90" t="s">
        <v>117</v>
      </c>
      <c r="V6" s="90" t="s">
        <v>102</v>
      </c>
      <c r="W6" s="90" t="s">
        <v>128</v>
      </c>
      <c r="X6" s="90" t="s">
        <v>117</v>
      </c>
      <c r="Y6" s="90" t="s">
        <v>102</v>
      </c>
      <c r="Z6" s="90" t="s">
        <v>102</v>
      </c>
      <c r="AA6" s="90" t="s">
        <v>102</v>
      </c>
    </row>
    <row r="7" spans="1:27" ht="15" x14ac:dyDescent="0.25">
      <c r="A7" s="88" t="s">
        <v>99</v>
      </c>
      <c r="B7" s="88" t="s">
        <v>129</v>
      </c>
      <c r="C7" s="88" t="s">
        <v>101</v>
      </c>
      <c r="D7" s="90" t="s">
        <v>102</v>
      </c>
      <c r="E7" s="90" t="s">
        <v>102</v>
      </c>
      <c r="F7" s="90" t="s">
        <v>103</v>
      </c>
      <c r="G7" s="90" t="s">
        <v>102</v>
      </c>
      <c r="H7" s="90" t="s">
        <v>104</v>
      </c>
      <c r="I7" s="90" t="s">
        <v>102</v>
      </c>
      <c r="J7" s="90" t="s">
        <v>105</v>
      </c>
      <c r="K7" s="90" t="s">
        <v>102</v>
      </c>
      <c r="L7" s="90" t="s">
        <v>106</v>
      </c>
      <c r="M7" s="90" t="s">
        <v>102</v>
      </c>
      <c r="N7" s="90" t="s">
        <v>102</v>
      </c>
      <c r="O7" s="90" t="s">
        <v>102</v>
      </c>
      <c r="P7" s="90" t="s">
        <v>107</v>
      </c>
      <c r="Q7" s="90" t="s">
        <v>108</v>
      </c>
      <c r="R7" s="90" t="s">
        <v>109</v>
      </c>
      <c r="S7" s="90" t="s">
        <v>102</v>
      </c>
      <c r="T7" s="90" t="s">
        <v>102</v>
      </c>
      <c r="U7" s="90" t="s">
        <v>110</v>
      </c>
      <c r="V7" s="90" t="s">
        <v>102</v>
      </c>
      <c r="W7" s="90" t="s">
        <v>102</v>
      </c>
      <c r="X7" s="90" t="s">
        <v>102</v>
      </c>
      <c r="Y7" s="90" t="s">
        <v>102</v>
      </c>
      <c r="Z7" s="90" t="s">
        <v>102</v>
      </c>
      <c r="AA7" s="90" t="s">
        <v>102</v>
      </c>
    </row>
    <row r="8" spans="1:27" ht="15" x14ac:dyDescent="0.25">
      <c r="A8" s="88" t="s">
        <v>99</v>
      </c>
      <c r="B8" s="88" t="s">
        <v>130</v>
      </c>
      <c r="C8" s="88" t="s">
        <v>101</v>
      </c>
      <c r="D8" s="90" t="s">
        <v>102</v>
      </c>
      <c r="E8" s="90" t="s">
        <v>102</v>
      </c>
      <c r="F8" s="90" t="s">
        <v>131</v>
      </c>
      <c r="G8" s="90" t="s">
        <v>102</v>
      </c>
      <c r="H8" s="90" t="s">
        <v>132</v>
      </c>
      <c r="I8" s="90" t="s">
        <v>102</v>
      </c>
      <c r="J8" s="90" t="s">
        <v>133</v>
      </c>
      <c r="K8" s="90" t="s">
        <v>102</v>
      </c>
      <c r="L8" s="90" t="s">
        <v>134</v>
      </c>
      <c r="M8" s="90" t="s">
        <v>102</v>
      </c>
      <c r="N8" s="90" t="s">
        <v>102</v>
      </c>
      <c r="O8" s="90" t="s">
        <v>102</v>
      </c>
      <c r="P8" s="90" t="s">
        <v>135</v>
      </c>
      <c r="Q8" s="90" t="s">
        <v>102</v>
      </c>
      <c r="R8" s="90" t="s">
        <v>102</v>
      </c>
      <c r="S8" s="90" t="s">
        <v>102</v>
      </c>
      <c r="T8" s="90" t="s">
        <v>102</v>
      </c>
      <c r="U8" s="90" t="s">
        <v>135</v>
      </c>
      <c r="V8" s="90" t="s">
        <v>102</v>
      </c>
      <c r="W8" s="90" t="s">
        <v>102</v>
      </c>
      <c r="X8" s="90" t="s">
        <v>102</v>
      </c>
      <c r="Y8" s="90" t="s">
        <v>102</v>
      </c>
      <c r="Z8" s="90" t="s">
        <v>102</v>
      </c>
      <c r="AA8" s="90" t="s">
        <v>102</v>
      </c>
    </row>
    <row r="9" spans="1:27" ht="15" x14ac:dyDescent="0.25">
      <c r="A9" s="88" t="s">
        <v>99</v>
      </c>
      <c r="B9" s="88" t="s">
        <v>136</v>
      </c>
      <c r="C9" s="88" t="s">
        <v>101</v>
      </c>
      <c r="D9" s="90" t="s">
        <v>102</v>
      </c>
      <c r="E9" s="90" t="s">
        <v>102</v>
      </c>
      <c r="F9" s="90" t="s">
        <v>124</v>
      </c>
      <c r="G9" s="90" t="s">
        <v>102</v>
      </c>
      <c r="H9" s="90" t="s">
        <v>125</v>
      </c>
      <c r="I9" s="90" t="s">
        <v>102</v>
      </c>
      <c r="J9" s="90" t="s">
        <v>126</v>
      </c>
      <c r="K9" s="90" t="s">
        <v>102</v>
      </c>
      <c r="L9" s="90" t="s">
        <v>127</v>
      </c>
      <c r="M9" s="90" t="s">
        <v>102</v>
      </c>
      <c r="N9" s="90" t="s">
        <v>102</v>
      </c>
      <c r="O9" s="90" t="s">
        <v>102</v>
      </c>
      <c r="P9" s="90" t="s">
        <v>117</v>
      </c>
      <c r="Q9" s="90" t="s">
        <v>117</v>
      </c>
      <c r="R9" s="90" t="s">
        <v>117</v>
      </c>
      <c r="S9" s="90" t="s">
        <v>128</v>
      </c>
      <c r="T9" s="90" t="s">
        <v>102</v>
      </c>
      <c r="U9" s="90" t="s">
        <v>117</v>
      </c>
      <c r="V9" s="90" t="s">
        <v>102</v>
      </c>
      <c r="W9" s="90" t="s">
        <v>128</v>
      </c>
      <c r="X9" s="90" t="s">
        <v>117</v>
      </c>
      <c r="Y9" s="90" t="s">
        <v>102</v>
      </c>
      <c r="Z9" s="90" t="s">
        <v>102</v>
      </c>
      <c r="AA9" s="90" t="s">
        <v>102</v>
      </c>
    </row>
    <row r="10" spans="1:27" ht="15" x14ac:dyDescent="0.25">
      <c r="A10" s="88" t="s">
        <v>99</v>
      </c>
      <c r="B10" s="88" t="s">
        <v>137</v>
      </c>
      <c r="C10" s="88" t="s">
        <v>101</v>
      </c>
      <c r="D10" s="90" t="s">
        <v>102</v>
      </c>
      <c r="E10" s="90" t="s">
        <v>102</v>
      </c>
      <c r="F10" s="90" t="s">
        <v>138</v>
      </c>
      <c r="G10" s="90" t="s">
        <v>102</v>
      </c>
      <c r="H10" s="90" t="s">
        <v>139</v>
      </c>
      <c r="I10" s="90" t="s">
        <v>102</v>
      </c>
      <c r="J10" s="90" t="s">
        <v>140</v>
      </c>
      <c r="K10" s="90" t="s">
        <v>102</v>
      </c>
      <c r="L10" s="90" t="s">
        <v>120</v>
      </c>
      <c r="M10" s="90" t="s">
        <v>102</v>
      </c>
      <c r="N10" s="90" t="s">
        <v>102</v>
      </c>
      <c r="O10" s="90" t="s">
        <v>102</v>
      </c>
      <c r="P10" s="90" t="s">
        <v>141</v>
      </c>
      <c r="Q10" s="90" t="s">
        <v>135</v>
      </c>
      <c r="R10" s="90" t="s">
        <v>142</v>
      </c>
      <c r="S10" s="90" t="s">
        <v>102</v>
      </c>
      <c r="T10" s="90" t="s">
        <v>102</v>
      </c>
      <c r="U10" s="90" t="s">
        <v>135</v>
      </c>
      <c r="V10" s="90" t="s">
        <v>102</v>
      </c>
      <c r="W10" s="90" t="s">
        <v>143</v>
      </c>
      <c r="X10" s="90" t="s">
        <v>102</v>
      </c>
      <c r="Y10" s="90" t="s">
        <v>102</v>
      </c>
      <c r="Z10" s="90" t="s">
        <v>102</v>
      </c>
      <c r="AA10" s="90" t="s">
        <v>102</v>
      </c>
    </row>
    <row r="11" spans="1:27" ht="15" x14ac:dyDescent="0.25">
      <c r="A11" s="88" t="s">
        <v>99</v>
      </c>
      <c r="B11" s="88" t="s">
        <v>144</v>
      </c>
      <c r="C11" s="88" t="s">
        <v>101</v>
      </c>
      <c r="D11" s="90" t="s">
        <v>102</v>
      </c>
      <c r="E11" s="90" t="s">
        <v>102</v>
      </c>
      <c r="F11" s="90" t="s">
        <v>103</v>
      </c>
      <c r="G11" s="90" t="s">
        <v>102</v>
      </c>
      <c r="H11" s="90" t="s">
        <v>104</v>
      </c>
      <c r="I11" s="90" t="s">
        <v>102</v>
      </c>
      <c r="J11" s="90" t="s">
        <v>105</v>
      </c>
      <c r="K11" s="90" t="s">
        <v>102</v>
      </c>
      <c r="L11" s="90" t="s">
        <v>106</v>
      </c>
      <c r="M11" s="90" t="s">
        <v>102</v>
      </c>
      <c r="N11" s="90" t="s">
        <v>102</v>
      </c>
      <c r="O11" s="90" t="s">
        <v>102</v>
      </c>
      <c r="P11" s="90" t="s">
        <v>107</v>
      </c>
      <c r="Q11" s="90" t="s">
        <v>108</v>
      </c>
      <c r="R11" s="90" t="s">
        <v>109</v>
      </c>
      <c r="S11" s="90" t="s">
        <v>102</v>
      </c>
      <c r="T11" s="90" t="s">
        <v>102</v>
      </c>
      <c r="U11" s="90" t="s">
        <v>110</v>
      </c>
      <c r="V11" s="90" t="s">
        <v>102</v>
      </c>
      <c r="W11" s="90" t="s">
        <v>102</v>
      </c>
      <c r="X11" s="90" t="s">
        <v>102</v>
      </c>
      <c r="Y11" s="90" t="s">
        <v>102</v>
      </c>
      <c r="Z11" s="90" t="s">
        <v>102</v>
      </c>
      <c r="AA11" s="90" t="s">
        <v>102</v>
      </c>
    </row>
    <row r="12" spans="1:27" ht="15" x14ac:dyDescent="0.25">
      <c r="A12" s="88" t="s">
        <v>99</v>
      </c>
      <c r="B12" s="88" t="s">
        <v>145</v>
      </c>
      <c r="C12" s="88" t="s">
        <v>101</v>
      </c>
      <c r="D12" s="90" t="s">
        <v>102</v>
      </c>
      <c r="E12" s="90" t="s">
        <v>102</v>
      </c>
      <c r="F12" s="90" t="s">
        <v>102</v>
      </c>
      <c r="G12" s="90" t="s">
        <v>102</v>
      </c>
      <c r="H12" s="90" t="s">
        <v>146</v>
      </c>
      <c r="I12" s="90" t="s">
        <v>102</v>
      </c>
      <c r="J12" s="90" t="s">
        <v>102</v>
      </c>
      <c r="K12" s="90" t="s">
        <v>102</v>
      </c>
      <c r="L12" s="90" t="s">
        <v>132</v>
      </c>
      <c r="M12" s="90" t="s">
        <v>102</v>
      </c>
      <c r="N12" s="90" t="s">
        <v>102</v>
      </c>
      <c r="O12" s="90" t="s">
        <v>102</v>
      </c>
      <c r="P12" s="90" t="s">
        <v>102</v>
      </c>
      <c r="Q12" s="90" t="s">
        <v>147</v>
      </c>
      <c r="R12" s="90" t="s">
        <v>140</v>
      </c>
      <c r="S12" s="90" t="s">
        <v>102</v>
      </c>
      <c r="T12" s="90" t="s">
        <v>102</v>
      </c>
      <c r="U12" s="90" t="s">
        <v>140</v>
      </c>
      <c r="V12" s="90" t="s">
        <v>102</v>
      </c>
      <c r="W12" s="90" t="s">
        <v>148</v>
      </c>
      <c r="X12" s="90" t="s">
        <v>115</v>
      </c>
      <c r="Y12" s="90" t="s">
        <v>102</v>
      </c>
      <c r="Z12" s="90" t="s">
        <v>102</v>
      </c>
      <c r="AA12" s="90" t="s">
        <v>102</v>
      </c>
    </row>
    <row r="13" spans="1:27" ht="15" x14ac:dyDescent="0.25">
      <c r="A13" s="88" t="s">
        <v>99</v>
      </c>
      <c r="B13" s="88" t="s">
        <v>149</v>
      </c>
      <c r="C13" s="88" t="s">
        <v>101</v>
      </c>
      <c r="D13" s="90" t="s">
        <v>102</v>
      </c>
      <c r="E13" s="90" t="s">
        <v>102</v>
      </c>
      <c r="F13" s="90" t="s">
        <v>147</v>
      </c>
      <c r="G13" s="90" t="s">
        <v>102</v>
      </c>
      <c r="H13" s="90" t="s">
        <v>150</v>
      </c>
      <c r="I13" s="90" t="s">
        <v>102</v>
      </c>
      <c r="J13" s="90" t="s">
        <v>151</v>
      </c>
      <c r="K13" s="90" t="s">
        <v>102</v>
      </c>
      <c r="L13" s="90" t="s">
        <v>152</v>
      </c>
      <c r="M13" s="90" t="s">
        <v>102</v>
      </c>
      <c r="N13" s="90" t="s">
        <v>102</v>
      </c>
      <c r="O13" s="90" t="s">
        <v>102</v>
      </c>
      <c r="P13" s="90" t="s">
        <v>141</v>
      </c>
      <c r="Q13" s="90" t="s">
        <v>135</v>
      </c>
      <c r="R13" s="90" t="s">
        <v>143</v>
      </c>
      <c r="S13" s="90" t="s">
        <v>102</v>
      </c>
      <c r="T13" s="90" t="s">
        <v>102</v>
      </c>
      <c r="U13" s="90" t="s">
        <v>153</v>
      </c>
      <c r="V13" s="90" t="s">
        <v>102</v>
      </c>
      <c r="W13" s="90" t="s">
        <v>102</v>
      </c>
      <c r="X13" s="90" t="s">
        <v>102</v>
      </c>
      <c r="Y13" s="90" t="s">
        <v>102</v>
      </c>
      <c r="Z13" s="90" t="s">
        <v>102</v>
      </c>
      <c r="AA13" s="90" t="s">
        <v>102</v>
      </c>
    </row>
    <row r="14" spans="1:27" ht="15" x14ac:dyDescent="0.25">
      <c r="A14" s="88" t="s">
        <v>99</v>
      </c>
      <c r="B14" s="88" t="s">
        <v>154</v>
      </c>
      <c r="C14" s="88" t="s">
        <v>101</v>
      </c>
      <c r="D14" s="90" t="s">
        <v>102</v>
      </c>
      <c r="E14" s="90" t="s">
        <v>102</v>
      </c>
      <c r="F14" s="90" t="s">
        <v>147</v>
      </c>
      <c r="G14" s="90" t="s">
        <v>102</v>
      </c>
      <c r="H14" s="90" t="s">
        <v>150</v>
      </c>
      <c r="I14" s="90" t="s">
        <v>102</v>
      </c>
      <c r="J14" s="90" t="s">
        <v>155</v>
      </c>
      <c r="K14" s="90" t="s">
        <v>102</v>
      </c>
      <c r="L14" s="90" t="s">
        <v>134</v>
      </c>
      <c r="M14" s="90" t="s">
        <v>102</v>
      </c>
      <c r="N14" s="90" t="s">
        <v>102</v>
      </c>
      <c r="O14" s="90" t="s">
        <v>102</v>
      </c>
      <c r="P14" s="90" t="s">
        <v>156</v>
      </c>
      <c r="Q14" s="90" t="s">
        <v>157</v>
      </c>
      <c r="R14" s="90" t="s">
        <v>158</v>
      </c>
      <c r="S14" s="90" t="s">
        <v>159</v>
      </c>
      <c r="T14" s="90" t="s">
        <v>141</v>
      </c>
      <c r="U14" s="90" t="s">
        <v>153</v>
      </c>
      <c r="V14" s="90" t="s">
        <v>102</v>
      </c>
      <c r="W14" s="90" t="s">
        <v>102</v>
      </c>
      <c r="X14" s="90" t="s">
        <v>102</v>
      </c>
      <c r="Y14" s="90" t="s">
        <v>102</v>
      </c>
      <c r="Z14" s="90" t="s">
        <v>102</v>
      </c>
      <c r="AA14" s="90" t="s">
        <v>102</v>
      </c>
    </row>
    <row r="15" spans="1:27" ht="15" x14ac:dyDescent="0.25">
      <c r="A15" s="88" t="s">
        <v>99</v>
      </c>
      <c r="B15" s="88" t="s">
        <v>160</v>
      </c>
      <c r="C15" s="88" t="s">
        <v>101</v>
      </c>
      <c r="D15" s="90" t="s">
        <v>102</v>
      </c>
      <c r="E15" s="90" t="s">
        <v>102</v>
      </c>
      <c r="F15" s="90" t="s">
        <v>124</v>
      </c>
      <c r="G15" s="90" t="s">
        <v>102</v>
      </c>
      <c r="H15" s="90" t="s">
        <v>125</v>
      </c>
      <c r="I15" s="90" t="s">
        <v>102</v>
      </c>
      <c r="J15" s="90" t="s">
        <v>126</v>
      </c>
      <c r="K15" s="90" t="s">
        <v>102</v>
      </c>
      <c r="L15" s="90" t="s">
        <v>127</v>
      </c>
      <c r="M15" s="90" t="s">
        <v>102</v>
      </c>
      <c r="N15" s="90" t="s">
        <v>102</v>
      </c>
      <c r="O15" s="90" t="s">
        <v>102</v>
      </c>
      <c r="P15" s="90" t="s">
        <v>117</v>
      </c>
      <c r="Q15" s="90" t="s">
        <v>117</v>
      </c>
      <c r="R15" s="90" t="s">
        <v>117</v>
      </c>
      <c r="S15" s="90" t="s">
        <v>128</v>
      </c>
      <c r="T15" s="90" t="s">
        <v>102</v>
      </c>
      <c r="U15" s="90" t="s">
        <v>117</v>
      </c>
      <c r="V15" s="90" t="s">
        <v>102</v>
      </c>
      <c r="W15" s="90" t="s">
        <v>128</v>
      </c>
      <c r="X15" s="90" t="s">
        <v>117</v>
      </c>
      <c r="Y15" s="90" t="s">
        <v>102</v>
      </c>
      <c r="Z15" s="90" t="s">
        <v>102</v>
      </c>
      <c r="AA15" s="90" t="s">
        <v>102</v>
      </c>
    </row>
    <row r="16" spans="1:27" ht="15" x14ac:dyDescent="0.25">
      <c r="A16" s="88" t="s">
        <v>161</v>
      </c>
      <c r="B16" s="88" t="s">
        <v>162</v>
      </c>
      <c r="C16" s="88" t="s">
        <v>163</v>
      </c>
      <c r="D16" s="90" t="s">
        <v>110</v>
      </c>
      <c r="E16" s="90" t="s">
        <v>102</v>
      </c>
      <c r="F16" s="90" t="s">
        <v>110</v>
      </c>
      <c r="G16" s="90" t="s">
        <v>102</v>
      </c>
      <c r="H16" s="90" t="s">
        <v>164</v>
      </c>
      <c r="I16" s="90" t="s">
        <v>102</v>
      </c>
      <c r="J16" s="90" t="s">
        <v>108</v>
      </c>
      <c r="K16" s="90" t="s">
        <v>108</v>
      </c>
      <c r="L16" s="90" t="s">
        <v>143</v>
      </c>
      <c r="M16" s="90" t="s">
        <v>102</v>
      </c>
      <c r="N16" s="90" t="s">
        <v>102</v>
      </c>
      <c r="O16" s="90" t="s">
        <v>102</v>
      </c>
      <c r="P16" s="90" t="s">
        <v>102</v>
      </c>
      <c r="Q16" s="90" t="s">
        <v>102</v>
      </c>
      <c r="R16" s="90" t="s">
        <v>102</v>
      </c>
      <c r="S16" s="90" t="s">
        <v>102</v>
      </c>
      <c r="T16" s="90" t="s">
        <v>102</v>
      </c>
      <c r="U16" s="90" t="s">
        <v>102</v>
      </c>
      <c r="V16" s="90" t="s">
        <v>102</v>
      </c>
      <c r="W16" s="90" t="s">
        <v>102</v>
      </c>
      <c r="X16" s="90" t="s">
        <v>102</v>
      </c>
      <c r="Y16" s="90" t="s">
        <v>102</v>
      </c>
      <c r="Z16" s="90" t="s">
        <v>102</v>
      </c>
      <c r="AA16" s="90" t="s">
        <v>102</v>
      </c>
    </row>
    <row r="17" spans="1:27" ht="15" x14ac:dyDescent="0.25">
      <c r="A17" s="88" t="s">
        <v>165</v>
      </c>
      <c r="B17" s="88" t="s">
        <v>162</v>
      </c>
      <c r="C17" s="88" t="s">
        <v>166</v>
      </c>
      <c r="D17" s="90" t="s">
        <v>167</v>
      </c>
      <c r="E17" s="90" t="s">
        <v>102</v>
      </c>
      <c r="F17" s="90" t="s">
        <v>167</v>
      </c>
      <c r="G17" s="90" t="s">
        <v>102</v>
      </c>
      <c r="H17" s="90" t="s">
        <v>157</v>
      </c>
      <c r="I17" s="90" t="s">
        <v>102</v>
      </c>
      <c r="J17" s="90" t="s">
        <v>135</v>
      </c>
      <c r="K17" s="90" t="s">
        <v>135</v>
      </c>
      <c r="L17" s="90" t="s">
        <v>110</v>
      </c>
      <c r="M17" s="90" t="s">
        <v>102</v>
      </c>
      <c r="N17" s="90" t="s">
        <v>102</v>
      </c>
      <c r="O17" s="90" t="s">
        <v>102</v>
      </c>
      <c r="P17" s="90" t="s">
        <v>102</v>
      </c>
      <c r="Q17" s="90" t="s">
        <v>102</v>
      </c>
      <c r="R17" s="90" t="s">
        <v>102</v>
      </c>
      <c r="S17" s="90" t="s">
        <v>102</v>
      </c>
      <c r="T17" s="90" t="s">
        <v>102</v>
      </c>
      <c r="U17" s="90" t="s">
        <v>102</v>
      </c>
      <c r="V17" s="90" t="s">
        <v>102</v>
      </c>
      <c r="W17" s="90" t="s">
        <v>102</v>
      </c>
      <c r="X17" s="90" t="s">
        <v>102</v>
      </c>
      <c r="Y17" s="90" t="s">
        <v>102</v>
      </c>
      <c r="Z17" s="90" t="s">
        <v>102</v>
      </c>
      <c r="AA17" s="90" t="s">
        <v>102</v>
      </c>
    </row>
    <row r="18" spans="1:27" ht="15" x14ac:dyDescent="0.25">
      <c r="A18" s="88" t="s">
        <v>168</v>
      </c>
      <c r="B18" s="88" t="s">
        <v>169</v>
      </c>
      <c r="C18" s="88" t="s">
        <v>170</v>
      </c>
      <c r="D18" s="90" t="s">
        <v>119</v>
      </c>
      <c r="E18" s="90" t="s">
        <v>112</v>
      </c>
      <c r="F18" s="90" t="s">
        <v>112</v>
      </c>
      <c r="G18" s="90" t="s">
        <v>150</v>
      </c>
      <c r="H18" s="90" t="s">
        <v>150</v>
      </c>
      <c r="I18" s="90" t="s">
        <v>171</v>
      </c>
      <c r="J18" s="90" t="s">
        <v>171</v>
      </c>
      <c r="K18" s="90" t="s">
        <v>171</v>
      </c>
      <c r="L18" s="90" t="s">
        <v>172</v>
      </c>
      <c r="M18" s="90" t="s">
        <v>143</v>
      </c>
      <c r="N18" s="90" t="s">
        <v>173</v>
      </c>
      <c r="O18" s="90" t="s">
        <v>102</v>
      </c>
      <c r="P18" s="90" t="s">
        <v>171</v>
      </c>
      <c r="Q18" s="90" t="s">
        <v>174</v>
      </c>
      <c r="R18" s="90" t="s">
        <v>172</v>
      </c>
      <c r="S18" s="90" t="s">
        <v>143</v>
      </c>
      <c r="T18" s="90" t="s">
        <v>173</v>
      </c>
      <c r="U18" s="90" t="s">
        <v>175</v>
      </c>
      <c r="V18" s="90" t="s">
        <v>102</v>
      </c>
      <c r="W18" s="90" t="s">
        <v>102</v>
      </c>
      <c r="X18" s="90" t="s">
        <v>102</v>
      </c>
      <c r="Y18" s="90" t="s">
        <v>102</v>
      </c>
      <c r="Z18" s="90" t="s">
        <v>102</v>
      </c>
      <c r="AA18" s="90" t="s">
        <v>102</v>
      </c>
    </row>
    <row r="19" spans="1:27" ht="15" x14ac:dyDescent="0.25">
      <c r="A19" s="88" t="s">
        <v>168</v>
      </c>
      <c r="B19" s="88" t="s">
        <v>176</v>
      </c>
      <c r="C19" s="88" t="s">
        <v>170</v>
      </c>
      <c r="D19" s="90" t="s">
        <v>177</v>
      </c>
      <c r="E19" s="90" t="s">
        <v>102</v>
      </c>
      <c r="F19" s="90" t="s">
        <v>177</v>
      </c>
      <c r="G19" s="90" t="s">
        <v>102</v>
      </c>
      <c r="H19" s="90" t="s">
        <v>178</v>
      </c>
      <c r="I19" s="90" t="s">
        <v>102</v>
      </c>
      <c r="J19" s="90" t="s">
        <v>179</v>
      </c>
      <c r="K19" s="90" t="s">
        <v>179</v>
      </c>
      <c r="L19" s="90" t="s">
        <v>180</v>
      </c>
      <c r="M19" s="90" t="s">
        <v>181</v>
      </c>
      <c r="N19" s="90" t="s">
        <v>182</v>
      </c>
      <c r="O19" s="90" t="s">
        <v>102</v>
      </c>
      <c r="P19" s="90" t="s">
        <v>102</v>
      </c>
      <c r="Q19" s="90" t="s">
        <v>102</v>
      </c>
      <c r="R19" s="90" t="s">
        <v>102</v>
      </c>
      <c r="S19" s="90" t="s">
        <v>102</v>
      </c>
      <c r="T19" s="90" t="s">
        <v>102</v>
      </c>
      <c r="U19" s="90" t="s">
        <v>183</v>
      </c>
      <c r="V19" s="90" t="s">
        <v>102</v>
      </c>
      <c r="W19" s="90" t="s">
        <v>102</v>
      </c>
      <c r="X19" s="90" t="s">
        <v>102</v>
      </c>
      <c r="Y19" s="90" t="s">
        <v>102</v>
      </c>
      <c r="Z19" s="90" t="s">
        <v>102</v>
      </c>
      <c r="AA19" s="90" t="s">
        <v>102</v>
      </c>
    </row>
    <row r="20" spans="1:27" ht="15" x14ac:dyDescent="0.25">
      <c r="A20" s="88" t="s">
        <v>168</v>
      </c>
      <c r="B20" s="88" t="s">
        <v>154</v>
      </c>
      <c r="C20" s="88" t="s">
        <v>170</v>
      </c>
      <c r="D20" s="90" t="s">
        <v>102</v>
      </c>
      <c r="E20" s="90" t="s">
        <v>184</v>
      </c>
      <c r="F20" s="90" t="s">
        <v>102</v>
      </c>
      <c r="G20" s="90" t="s">
        <v>185</v>
      </c>
      <c r="H20" s="90" t="s">
        <v>186</v>
      </c>
      <c r="I20" s="90" t="s">
        <v>187</v>
      </c>
      <c r="J20" s="90" t="s">
        <v>147</v>
      </c>
      <c r="K20" s="90" t="s">
        <v>188</v>
      </c>
      <c r="L20" s="90" t="s">
        <v>174</v>
      </c>
      <c r="M20" s="90" t="s">
        <v>102</v>
      </c>
      <c r="N20" s="90" t="s">
        <v>102</v>
      </c>
      <c r="O20" s="90" t="s">
        <v>102</v>
      </c>
      <c r="P20" s="90" t="s">
        <v>102</v>
      </c>
      <c r="Q20" s="90" t="s">
        <v>102</v>
      </c>
      <c r="R20" s="90" t="s">
        <v>102</v>
      </c>
      <c r="S20" s="90" t="s">
        <v>102</v>
      </c>
      <c r="T20" s="90" t="s">
        <v>102</v>
      </c>
      <c r="U20" s="90" t="s">
        <v>114</v>
      </c>
      <c r="V20" s="90" t="s">
        <v>102</v>
      </c>
      <c r="W20" s="90" t="s">
        <v>102</v>
      </c>
      <c r="X20" s="90" t="s">
        <v>102</v>
      </c>
      <c r="Y20" s="90" t="s">
        <v>102</v>
      </c>
      <c r="Z20" s="90" t="s">
        <v>102</v>
      </c>
      <c r="AA20" s="90" t="s">
        <v>102</v>
      </c>
    </row>
    <row r="21" spans="1:27" ht="15" x14ac:dyDescent="0.25">
      <c r="A21" s="88" t="s">
        <v>189</v>
      </c>
      <c r="B21" s="88" t="s">
        <v>169</v>
      </c>
      <c r="C21" s="88" t="s">
        <v>190</v>
      </c>
      <c r="D21" s="90" t="s">
        <v>102</v>
      </c>
      <c r="E21" s="90" t="s">
        <v>102</v>
      </c>
      <c r="F21" s="90" t="s">
        <v>191</v>
      </c>
      <c r="G21" s="90" t="s">
        <v>102</v>
      </c>
      <c r="H21" s="90" t="s">
        <v>192</v>
      </c>
      <c r="I21" s="90" t="s">
        <v>102</v>
      </c>
      <c r="J21" s="90" t="s">
        <v>193</v>
      </c>
      <c r="K21" s="90" t="s">
        <v>102</v>
      </c>
      <c r="L21" s="90" t="s">
        <v>194</v>
      </c>
      <c r="M21" s="90" t="s">
        <v>102</v>
      </c>
      <c r="N21" s="90" t="s">
        <v>102</v>
      </c>
      <c r="O21" s="90" t="s">
        <v>102</v>
      </c>
      <c r="P21" s="90" t="s">
        <v>195</v>
      </c>
      <c r="Q21" s="90" t="s">
        <v>102</v>
      </c>
      <c r="R21" s="90" t="s">
        <v>102</v>
      </c>
      <c r="S21" s="90" t="s">
        <v>102</v>
      </c>
      <c r="T21" s="90" t="s">
        <v>102</v>
      </c>
      <c r="U21" s="90" t="s">
        <v>102</v>
      </c>
      <c r="V21" s="90" t="s">
        <v>102</v>
      </c>
      <c r="W21" s="90" t="s">
        <v>102</v>
      </c>
      <c r="X21" s="90" t="s">
        <v>102</v>
      </c>
      <c r="Y21" s="90" t="s">
        <v>102</v>
      </c>
      <c r="Z21" s="90" t="s">
        <v>102</v>
      </c>
      <c r="AA21" s="90" t="s">
        <v>102</v>
      </c>
    </row>
    <row r="22" spans="1:27" ht="15" x14ac:dyDescent="0.25">
      <c r="A22" s="88" t="s">
        <v>196</v>
      </c>
      <c r="B22" s="88" t="s">
        <v>169</v>
      </c>
      <c r="C22" s="88" t="s">
        <v>197</v>
      </c>
      <c r="D22" s="90" t="s">
        <v>102</v>
      </c>
      <c r="E22" s="90" t="s">
        <v>102</v>
      </c>
      <c r="F22" s="90" t="s">
        <v>198</v>
      </c>
      <c r="G22" s="90" t="s">
        <v>102</v>
      </c>
      <c r="H22" s="90" t="s">
        <v>199</v>
      </c>
      <c r="I22" s="90" t="s">
        <v>102</v>
      </c>
      <c r="J22" s="90" t="s">
        <v>200</v>
      </c>
      <c r="K22" s="90" t="s">
        <v>201</v>
      </c>
      <c r="L22" s="90" t="s">
        <v>202</v>
      </c>
      <c r="M22" s="90" t="s">
        <v>203</v>
      </c>
      <c r="N22" s="90" t="s">
        <v>102</v>
      </c>
      <c r="O22" s="90" t="s">
        <v>102</v>
      </c>
      <c r="P22" s="90" t="s">
        <v>102</v>
      </c>
      <c r="Q22" s="90" t="s">
        <v>102</v>
      </c>
      <c r="R22" s="90" t="s">
        <v>102</v>
      </c>
      <c r="S22" s="90" t="s">
        <v>102</v>
      </c>
      <c r="T22" s="90" t="s">
        <v>102</v>
      </c>
      <c r="U22" s="90" t="s">
        <v>102</v>
      </c>
      <c r="V22" s="90" t="s">
        <v>102</v>
      </c>
      <c r="W22" s="90" t="s">
        <v>102</v>
      </c>
      <c r="X22" s="90" t="s">
        <v>102</v>
      </c>
      <c r="Y22" s="90" t="s">
        <v>102</v>
      </c>
      <c r="Z22" s="90" t="s">
        <v>102</v>
      </c>
      <c r="AA22" s="90" t="s">
        <v>102</v>
      </c>
    </row>
    <row r="23" spans="1:27" ht="15" x14ac:dyDescent="0.25">
      <c r="A23" s="88" t="s">
        <v>196</v>
      </c>
      <c r="B23" s="88" t="s">
        <v>154</v>
      </c>
      <c r="C23" s="88" t="s">
        <v>197</v>
      </c>
      <c r="D23" s="90" t="s">
        <v>102</v>
      </c>
      <c r="E23" s="90" t="s">
        <v>102</v>
      </c>
      <c r="F23" s="90" t="s">
        <v>204</v>
      </c>
      <c r="G23" s="90" t="s">
        <v>102</v>
      </c>
      <c r="H23" s="90" t="s">
        <v>205</v>
      </c>
      <c r="I23" s="90" t="s">
        <v>102</v>
      </c>
      <c r="J23" s="90" t="s">
        <v>102</v>
      </c>
      <c r="K23" s="90" t="s">
        <v>206</v>
      </c>
      <c r="L23" s="90" t="s">
        <v>102</v>
      </c>
      <c r="M23" s="90" t="s">
        <v>102</v>
      </c>
      <c r="N23" s="90" t="s">
        <v>102</v>
      </c>
      <c r="O23" s="90" t="s">
        <v>102</v>
      </c>
      <c r="P23" s="90" t="s">
        <v>207</v>
      </c>
      <c r="Q23" s="90" t="s">
        <v>208</v>
      </c>
      <c r="R23" s="90" t="s">
        <v>209</v>
      </c>
      <c r="S23" s="90" t="s">
        <v>102</v>
      </c>
      <c r="T23" s="90" t="s">
        <v>102</v>
      </c>
      <c r="U23" s="90" t="s">
        <v>210</v>
      </c>
      <c r="V23" s="90" t="s">
        <v>102</v>
      </c>
      <c r="W23" s="90" t="s">
        <v>102</v>
      </c>
      <c r="X23" s="90" t="s">
        <v>102</v>
      </c>
      <c r="Y23" s="90" t="s">
        <v>102</v>
      </c>
      <c r="Z23" s="90" t="s">
        <v>102</v>
      </c>
      <c r="AA23" s="90" t="s">
        <v>102</v>
      </c>
    </row>
    <row r="24" spans="1:27" ht="15" x14ac:dyDescent="0.25">
      <c r="A24" s="88" t="s">
        <v>211</v>
      </c>
      <c r="B24" s="88" t="s">
        <v>162</v>
      </c>
      <c r="C24" s="88" t="s">
        <v>212</v>
      </c>
      <c r="D24" s="90" t="s">
        <v>158</v>
      </c>
      <c r="E24" s="90" t="s">
        <v>102</v>
      </c>
      <c r="F24" s="90" t="s">
        <v>158</v>
      </c>
      <c r="G24" s="90" t="s">
        <v>102</v>
      </c>
      <c r="H24" s="90" t="s">
        <v>107</v>
      </c>
      <c r="I24" s="90" t="s">
        <v>102</v>
      </c>
      <c r="J24" s="90" t="s">
        <v>213</v>
      </c>
      <c r="K24" s="90" t="s">
        <v>213</v>
      </c>
      <c r="L24" s="90" t="s">
        <v>135</v>
      </c>
      <c r="M24" s="90" t="s">
        <v>102</v>
      </c>
      <c r="N24" s="90" t="s">
        <v>102</v>
      </c>
      <c r="O24" s="90" t="s">
        <v>102</v>
      </c>
      <c r="P24" s="90" t="s">
        <v>102</v>
      </c>
      <c r="Q24" s="90" t="s">
        <v>102</v>
      </c>
      <c r="R24" s="90" t="s">
        <v>102</v>
      </c>
      <c r="S24" s="90" t="s">
        <v>102</v>
      </c>
      <c r="T24" s="90" t="s">
        <v>102</v>
      </c>
      <c r="U24" s="90" t="s">
        <v>102</v>
      </c>
      <c r="V24" s="90" t="s">
        <v>102</v>
      </c>
      <c r="W24" s="90" t="s">
        <v>102</v>
      </c>
      <c r="X24" s="90" t="s">
        <v>102</v>
      </c>
      <c r="Y24" s="90" t="s">
        <v>102</v>
      </c>
      <c r="Z24" s="90" t="s">
        <v>102</v>
      </c>
      <c r="AA24" s="90" t="s">
        <v>102</v>
      </c>
    </row>
    <row r="25" spans="1:27" ht="15" x14ac:dyDescent="0.25">
      <c r="A25" s="88" t="s">
        <v>214</v>
      </c>
      <c r="B25" s="88" t="s">
        <v>169</v>
      </c>
      <c r="C25" s="88" t="s">
        <v>170</v>
      </c>
      <c r="D25" s="90" t="s">
        <v>102</v>
      </c>
      <c r="E25" s="90" t="s">
        <v>102</v>
      </c>
      <c r="F25" s="90" t="s">
        <v>215</v>
      </c>
      <c r="G25" s="90" t="s">
        <v>102</v>
      </c>
      <c r="H25" s="90" t="s">
        <v>216</v>
      </c>
      <c r="I25" s="90" t="s">
        <v>102</v>
      </c>
      <c r="J25" s="90" t="s">
        <v>217</v>
      </c>
      <c r="K25" s="90" t="s">
        <v>218</v>
      </c>
      <c r="L25" s="90" t="s">
        <v>219</v>
      </c>
      <c r="M25" s="90" t="s">
        <v>220</v>
      </c>
      <c r="N25" s="90" t="s">
        <v>221</v>
      </c>
      <c r="O25" s="90" t="s">
        <v>102</v>
      </c>
      <c r="P25" s="90" t="s">
        <v>105</v>
      </c>
      <c r="Q25" s="90" t="s">
        <v>102</v>
      </c>
      <c r="R25" s="90" t="s">
        <v>102</v>
      </c>
      <c r="S25" s="90" t="s">
        <v>221</v>
      </c>
      <c r="T25" s="90" t="s">
        <v>102</v>
      </c>
      <c r="U25" s="90" t="s">
        <v>222</v>
      </c>
      <c r="V25" s="90" t="s">
        <v>102</v>
      </c>
      <c r="W25" s="90" t="s">
        <v>223</v>
      </c>
      <c r="X25" s="90" t="s">
        <v>102</v>
      </c>
      <c r="Y25" s="90" t="s">
        <v>102</v>
      </c>
      <c r="Z25" s="90" t="s">
        <v>102</v>
      </c>
      <c r="AA25" s="90" t="s">
        <v>102</v>
      </c>
    </row>
    <row r="26" spans="1:27" ht="15" x14ac:dyDescent="0.25">
      <c r="A26" s="88" t="s">
        <v>214</v>
      </c>
      <c r="B26" s="88" t="s">
        <v>176</v>
      </c>
      <c r="C26" s="88" t="s">
        <v>170</v>
      </c>
      <c r="D26" s="90" t="s">
        <v>224</v>
      </c>
      <c r="E26" s="90" t="s">
        <v>102</v>
      </c>
      <c r="F26" s="90" t="s">
        <v>224</v>
      </c>
      <c r="G26" s="90" t="s">
        <v>102</v>
      </c>
      <c r="H26" s="90" t="s">
        <v>225</v>
      </c>
      <c r="I26" s="90" t="s">
        <v>102</v>
      </c>
      <c r="J26" s="90" t="s">
        <v>225</v>
      </c>
      <c r="K26" s="90" t="s">
        <v>225</v>
      </c>
      <c r="L26" s="90" t="s">
        <v>226</v>
      </c>
      <c r="M26" s="90" t="s">
        <v>102</v>
      </c>
      <c r="N26" s="90" t="s">
        <v>102</v>
      </c>
      <c r="O26" s="90" t="s">
        <v>102</v>
      </c>
      <c r="P26" s="90" t="s">
        <v>102</v>
      </c>
      <c r="Q26" s="90" t="s">
        <v>102</v>
      </c>
      <c r="R26" s="90" t="s">
        <v>102</v>
      </c>
      <c r="S26" s="90" t="s">
        <v>102</v>
      </c>
      <c r="T26" s="90" t="s">
        <v>102</v>
      </c>
      <c r="U26" s="90" t="s">
        <v>227</v>
      </c>
      <c r="V26" s="90" t="s">
        <v>102</v>
      </c>
      <c r="W26" s="90" t="s">
        <v>102</v>
      </c>
      <c r="X26" s="90" t="s">
        <v>102</v>
      </c>
      <c r="Y26" s="90" t="s">
        <v>102</v>
      </c>
      <c r="Z26" s="90" t="s">
        <v>102</v>
      </c>
      <c r="AA26" s="90" t="s">
        <v>102</v>
      </c>
    </row>
    <row r="27" spans="1:27" ht="15" x14ac:dyDescent="0.25">
      <c r="A27" s="88" t="s">
        <v>214</v>
      </c>
      <c r="B27" s="88" t="s">
        <v>154</v>
      </c>
      <c r="C27" s="88" t="s">
        <v>170</v>
      </c>
      <c r="D27" s="90" t="s">
        <v>102</v>
      </c>
      <c r="E27" s="90" t="s">
        <v>228</v>
      </c>
      <c r="F27" s="90" t="s">
        <v>102</v>
      </c>
      <c r="G27" s="90" t="s">
        <v>229</v>
      </c>
      <c r="H27" s="90" t="s">
        <v>102</v>
      </c>
      <c r="I27" s="90" t="s">
        <v>209</v>
      </c>
      <c r="J27" s="90" t="s">
        <v>104</v>
      </c>
      <c r="K27" s="90" t="s">
        <v>171</v>
      </c>
      <c r="L27" s="90" t="s">
        <v>125</v>
      </c>
      <c r="M27" s="90" t="s">
        <v>102</v>
      </c>
      <c r="N27" s="90" t="s">
        <v>102</v>
      </c>
      <c r="O27" s="90" t="s">
        <v>102</v>
      </c>
      <c r="P27" s="90" t="s">
        <v>102</v>
      </c>
      <c r="Q27" s="90" t="s">
        <v>102</v>
      </c>
      <c r="R27" s="90" t="s">
        <v>102</v>
      </c>
      <c r="S27" s="90" t="s">
        <v>102</v>
      </c>
      <c r="T27" s="90" t="s">
        <v>102</v>
      </c>
      <c r="U27" s="90" t="s">
        <v>119</v>
      </c>
      <c r="V27" s="90" t="s">
        <v>102</v>
      </c>
      <c r="W27" s="90" t="s">
        <v>102</v>
      </c>
      <c r="X27" s="90" t="s">
        <v>102</v>
      </c>
      <c r="Y27" s="90" t="s">
        <v>102</v>
      </c>
      <c r="Z27" s="90" t="s">
        <v>102</v>
      </c>
      <c r="AA27" s="90" t="s">
        <v>102</v>
      </c>
    </row>
    <row r="28" spans="1:27" ht="15" x14ac:dyDescent="0.25">
      <c r="A28" s="88" t="s">
        <v>230</v>
      </c>
      <c r="B28" s="88" t="s">
        <v>169</v>
      </c>
      <c r="C28" s="88" t="s">
        <v>170</v>
      </c>
      <c r="D28" s="90" t="s">
        <v>102</v>
      </c>
      <c r="E28" s="90" t="s">
        <v>231</v>
      </c>
      <c r="F28" s="90" t="s">
        <v>231</v>
      </c>
      <c r="G28" s="90" t="s">
        <v>232</v>
      </c>
      <c r="H28" s="90" t="s">
        <v>232</v>
      </c>
      <c r="I28" s="90" t="s">
        <v>233</v>
      </c>
      <c r="J28" s="90" t="s">
        <v>233</v>
      </c>
      <c r="K28" s="90" t="s">
        <v>234</v>
      </c>
      <c r="L28" s="90" t="s">
        <v>235</v>
      </c>
      <c r="M28" s="90" t="s">
        <v>102</v>
      </c>
      <c r="N28" s="90" t="s">
        <v>102</v>
      </c>
      <c r="O28" s="90" t="s">
        <v>102</v>
      </c>
      <c r="P28" s="90" t="s">
        <v>102</v>
      </c>
      <c r="Q28" s="90" t="s">
        <v>102</v>
      </c>
      <c r="R28" s="90" t="s">
        <v>102</v>
      </c>
      <c r="S28" s="90" t="s">
        <v>102</v>
      </c>
      <c r="T28" s="90" t="s">
        <v>102</v>
      </c>
      <c r="U28" s="90" t="s">
        <v>102</v>
      </c>
      <c r="V28" s="90" t="s">
        <v>102</v>
      </c>
      <c r="W28" s="90" t="s">
        <v>236</v>
      </c>
      <c r="X28" s="90" t="s">
        <v>102</v>
      </c>
      <c r="Y28" s="90" t="s">
        <v>102</v>
      </c>
      <c r="Z28" s="90" t="s">
        <v>102</v>
      </c>
      <c r="AA28" s="90" t="s">
        <v>102</v>
      </c>
    </row>
    <row r="29" spans="1:27" ht="15" x14ac:dyDescent="0.25">
      <c r="A29" s="88" t="s">
        <v>237</v>
      </c>
      <c r="B29" s="88" t="s">
        <v>162</v>
      </c>
      <c r="C29" s="88" t="s">
        <v>238</v>
      </c>
      <c r="D29" s="90" t="s">
        <v>114</v>
      </c>
      <c r="E29" s="90" t="s">
        <v>102</v>
      </c>
      <c r="F29" s="90" t="s">
        <v>114</v>
      </c>
      <c r="G29" s="90" t="s">
        <v>102</v>
      </c>
      <c r="H29" s="90" t="s">
        <v>239</v>
      </c>
      <c r="I29" s="90" t="s">
        <v>102</v>
      </c>
      <c r="J29" s="90" t="s">
        <v>150</v>
      </c>
      <c r="K29" s="90" t="s">
        <v>150</v>
      </c>
      <c r="L29" s="90" t="s">
        <v>104</v>
      </c>
      <c r="M29" s="90" t="s">
        <v>102</v>
      </c>
      <c r="N29" s="90" t="s">
        <v>102</v>
      </c>
      <c r="O29" s="90" t="s">
        <v>102</v>
      </c>
      <c r="P29" s="90" t="s">
        <v>102</v>
      </c>
      <c r="Q29" s="90" t="s">
        <v>102</v>
      </c>
      <c r="R29" s="90" t="s">
        <v>102</v>
      </c>
      <c r="S29" s="90" t="s">
        <v>102</v>
      </c>
      <c r="T29" s="90" t="s">
        <v>102</v>
      </c>
      <c r="U29" s="90" t="s">
        <v>102</v>
      </c>
      <c r="V29" s="90" t="s">
        <v>102</v>
      </c>
      <c r="W29" s="90" t="s">
        <v>102</v>
      </c>
      <c r="X29" s="90" t="s">
        <v>102</v>
      </c>
      <c r="Y29" s="90" t="s">
        <v>102</v>
      </c>
      <c r="Z29" s="90" t="s">
        <v>102</v>
      </c>
      <c r="AA29" s="90" t="s">
        <v>102</v>
      </c>
    </row>
    <row r="30" spans="1:27" ht="15" x14ac:dyDescent="0.25">
      <c r="A30" s="88" t="s">
        <v>237</v>
      </c>
      <c r="B30" s="88" t="s">
        <v>176</v>
      </c>
      <c r="C30" s="88" t="s">
        <v>238</v>
      </c>
      <c r="D30" s="90" t="s">
        <v>192</v>
      </c>
      <c r="E30" s="90" t="s">
        <v>102</v>
      </c>
      <c r="F30" s="90" t="s">
        <v>192</v>
      </c>
      <c r="G30" s="90" t="s">
        <v>102</v>
      </c>
      <c r="H30" s="90" t="s">
        <v>185</v>
      </c>
      <c r="I30" s="90" t="s">
        <v>102</v>
      </c>
      <c r="J30" s="90" t="s">
        <v>193</v>
      </c>
      <c r="K30" s="90" t="s">
        <v>193</v>
      </c>
      <c r="L30" s="90" t="s">
        <v>240</v>
      </c>
      <c r="M30" s="90" t="s">
        <v>102</v>
      </c>
      <c r="N30" s="90" t="s">
        <v>102</v>
      </c>
      <c r="O30" s="90" t="s">
        <v>102</v>
      </c>
      <c r="P30" s="90" t="s">
        <v>102</v>
      </c>
      <c r="Q30" s="90" t="s">
        <v>102</v>
      </c>
      <c r="R30" s="90" t="s">
        <v>102</v>
      </c>
      <c r="S30" s="90" t="s">
        <v>102</v>
      </c>
      <c r="T30" s="90" t="s">
        <v>102</v>
      </c>
      <c r="U30" s="90" t="s">
        <v>102</v>
      </c>
      <c r="V30" s="90" t="s">
        <v>102</v>
      </c>
      <c r="W30" s="90" t="s">
        <v>102</v>
      </c>
      <c r="X30" s="90" t="s">
        <v>102</v>
      </c>
      <c r="Y30" s="90" t="s">
        <v>102</v>
      </c>
      <c r="Z30" s="90" t="s">
        <v>102</v>
      </c>
      <c r="AA30" s="90" t="s">
        <v>102</v>
      </c>
    </row>
    <row r="31" spans="1:27" ht="15" x14ac:dyDescent="0.25">
      <c r="A31" s="88" t="s">
        <v>237</v>
      </c>
      <c r="B31" s="88" t="s">
        <v>149</v>
      </c>
      <c r="C31" s="88" t="s">
        <v>238</v>
      </c>
      <c r="D31" s="90" t="s">
        <v>147</v>
      </c>
      <c r="E31" s="90" t="s">
        <v>102</v>
      </c>
      <c r="F31" s="90" t="s">
        <v>147</v>
      </c>
      <c r="G31" s="90" t="s">
        <v>102</v>
      </c>
      <c r="H31" s="90" t="s">
        <v>150</v>
      </c>
      <c r="I31" s="90" t="s">
        <v>102</v>
      </c>
      <c r="J31" s="90" t="s">
        <v>151</v>
      </c>
      <c r="K31" s="90" t="s">
        <v>151</v>
      </c>
      <c r="L31" s="90" t="s">
        <v>152</v>
      </c>
      <c r="M31" s="90" t="s">
        <v>102</v>
      </c>
      <c r="N31" s="90" t="s">
        <v>102</v>
      </c>
      <c r="O31" s="90" t="s">
        <v>141</v>
      </c>
      <c r="P31" s="90" t="s">
        <v>143</v>
      </c>
      <c r="Q31" s="90" t="s">
        <v>135</v>
      </c>
      <c r="R31" s="90" t="s">
        <v>102</v>
      </c>
      <c r="S31" s="90" t="s">
        <v>102</v>
      </c>
      <c r="T31" s="90" t="s">
        <v>102</v>
      </c>
      <c r="U31" s="90" t="s">
        <v>153</v>
      </c>
      <c r="V31" s="90" t="s">
        <v>102</v>
      </c>
      <c r="W31" s="90" t="s">
        <v>102</v>
      </c>
      <c r="X31" s="90" t="s">
        <v>102</v>
      </c>
      <c r="Y31" s="90" t="s">
        <v>102</v>
      </c>
      <c r="Z31" s="90" t="s">
        <v>102</v>
      </c>
      <c r="AA31" s="90" t="s">
        <v>102</v>
      </c>
    </row>
    <row r="32" spans="1:27" ht="15" x14ac:dyDescent="0.25">
      <c r="A32" s="88" t="s">
        <v>241</v>
      </c>
      <c r="B32" s="88" t="s">
        <v>162</v>
      </c>
      <c r="C32" s="88" t="s">
        <v>242</v>
      </c>
      <c r="D32" s="90" t="s">
        <v>243</v>
      </c>
      <c r="E32" s="90" t="s">
        <v>102</v>
      </c>
      <c r="F32" s="90" t="s">
        <v>243</v>
      </c>
      <c r="G32" s="90" t="s">
        <v>102</v>
      </c>
      <c r="H32" s="90" t="s">
        <v>244</v>
      </c>
      <c r="I32" s="90" t="s">
        <v>102</v>
      </c>
      <c r="J32" s="90" t="s">
        <v>245</v>
      </c>
      <c r="K32" s="90" t="s">
        <v>245</v>
      </c>
      <c r="L32" s="90" t="s">
        <v>246</v>
      </c>
      <c r="M32" s="90" t="s">
        <v>102</v>
      </c>
      <c r="N32" s="90" t="s">
        <v>102</v>
      </c>
      <c r="O32" s="90" t="s">
        <v>102</v>
      </c>
      <c r="P32" s="90" t="s">
        <v>102</v>
      </c>
      <c r="Q32" s="90" t="s">
        <v>102</v>
      </c>
      <c r="R32" s="90" t="s">
        <v>102</v>
      </c>
      <c r="S32" s="90" t="s">
        <v>102</v>
      </c>
      <c r="T32" s="90" t="s">
        <v>102</v>
      </c>
      <c r="U32" s="90" t="s">
        <v>102</v>
      </c>
      <c r="V32" s="90" t="s">
        <v>102</v>
      </c>
      <c r="W32" s="90" t="s">
        <v>102</v>
      </c>
      <c r="X32" s="90" t="s">
        <v>102</v>
      </c>
      <c r="Y32" s="90" t="s">
        <v>102</v>
      </c>
      <c r="Z32" s="90" t="s">
        <v>102</v>
      </c>
      <c r="AA32" s="90" t="s">
        <v>102</v>
      </c>
    </row>
    <row r="33" spans="1:27" ht="15" x14ac:dyDescent="0.25">
      <c r="A33" s="88" t="s">
        <v>241</v>
      </c>
      <c r="B33" s="88" t="s">
        <v>169</v>
      </c>
      <c r="C33" s="88" t="s">
        <v>101</v>
      </c>
      <c r="D33" s="90" t="s">
        <v>119</v>
      </c>
      <c r="E33" s="90" t="s">
        <v>102</v>
      </c>
      <c r="F33" s="90" t="s">
        <v>103</v>
      </c>
      <c r="G33" s="90" t="s">
        <v>102</v>
      </c>
      <c r="H33" s="90" t="s">
        <v>247</v>
      </c>
      <c r="I33" s="90" t="s">
        <v>102</v>
      </c>
      <c r="J33" s="90" t="s">
        <v>248</v>
      </c>
      <c r="K33" s="90" t="s">
        <v>249</v>
      </c>
      <c r="L33" s="90" t="s">
        <v>102</v>
      </c>
      <c r="M33" s="90" t="s">
        <v>102</v>
      </c>
      <c r="N33" s="90" t="s">
        <v>102</v>
      </c>
      <c r="O33" s="90" t="s">
        <v>102</v>
      </c>
      <c r="P33" s="90" t="s">
        <v>250</v>
      </c>
      <c r="Q33" s="90" t="s">
        <v>102</v>
      </c>
      <c r="R33" s="90" t="s">
        <v>102</v>
      </c>
      <c r="S33" s="90" t="s">
        <v>102</v>
      </c>
      <c r="T33" s="90" t="s">
        <v>102</v>
      </c>
      <c r="U33" s="90" t="s">
        <v>102</v>
      </c>
      <c r="V33" s="90" t="s">
        <v>102</v>
      </c>
      <c r="W33" s="90" t="s">
        <v>102</v>
      </c>
      <c r="X33" s="90" t="s">
        <v>102</v>
      </c>
      <c r="Y33" s="90" t="s">
        <v>102</v>
      </c>
      <c r="Z33" s="90" t="s">
        <v>102</v>
      </c>
      <c r="AA33" s="90" t="s">
        <v>102</v>
      </c>
    </row>
    <row r="34" spans="1:27" ht="15" x14ac:dyDescent="0.25">
      <c r="A34" s="88" t="s">
        <v>251</v>
      </c>
      <c r="B34" s="88" t="s">
        <v>162</v>
      </c>
      <c r="C34" s="88" t="s">
        <v>252</v>
      </c>
      <c r="D34" s="90" t="s">
        <v>253</v>
      </c>
      <c r="E34" s="90" t="s">
        <v>102</v>
      </c>
      <c r="F34" s="90" t="s">
        <v>253</v>
      </c>
      <c r="G34" s="90" t="s">
        <v>102</v>
      </c>
      <c r="H34" s="90" t="s">
        <v>253</v>
      </c>
      <c r="I34" s="90" t="s">
        <v>102</v>
      </c>
      <c r="J34" s="90" t="s">
        <v>254</v>
      </c>
      <c r="K34" s="90" t="s">
        <v>254</v>
      </c>
      <c r="L34" s="90" t="s">
        <v>255</v>
      </c>
      <c r="M34" s="90" t="s">
        <v>102</v>
      </c>
      <c r="N34" s="90" t="s">
        <v>102</v>
      </c>
      <c r="O34" s="90" t="s">
        <v>102</v>
      </c>
      <c r="P34" s="90" t="s">
        <v>102</v>
      </c>
      <c r="Q34" s="90" t="s">
        <v>102</v>
      </c>
      <c r="R34" s="90" t="s">
        <v>102</v>
      </c>
      <c r="S34" s="90" t="s">
        <v>102</v>
      </c>
      <c r="T34" s="90" t="s">
        <v>102</v>
      </c>
      <c r="U34" s="90" t="s">
        <v>102</v>
      </c>
      <c r="V34" s="90" t="s">
        <v>102</v>
      </c>
      <c r="W34" s="90" t="s">
        <v>102</v>
      </c>
      <c r="X34" s="90" t="s">
        <v>102</v>
      </c>
      <c r="Y34" s="90" t="s">
        <v>102</v>
      </c>
      <c r="Z34" s="90" t="s">
        <v>102</v>
      </c>
      <c r="AA34" s="90" t="s">
        <v>102</v>
      </c>
    </row>
    <row r="35" spans="1:27" ht="15" x14ac:dyDescent="0.25">
      <c r="A35" s="88" t="s">
        <v>256</v>
      </c>
      <c r="B35" s="88" t="s">
        <v>162</v>
      </c>
      <c r="C35" s="88" t="s">
        <v>257</v>
      </c>
      <c r="D35" s="90" t="s">
        <v>258</v>
      </c>
      <c r="E35" s="90" t="s">
        <v>102</v>
      </c>
      <c r="F35" s="90" t="s">
        <v>258</v>
      </c>
      <c r="G35" s="90" t="s">
        <v>102</v>
      </c>
      <c r="H35" s="90" t="s">
        <v>259</v>
      </c>
      <c r="I35" s="90" t="s">
        <v>102</v>
      </c>
      <c r="J35" s="90" t="s">
        <v>260</v>
      </c>
      <c r="K35" s="90" t="s">
        <v>260</v>
      </c>
      <c r="L35" s="90" t="s">
        <v>261</v>
      </c>
      <c r="M35" s="90" t="s">
        <v>102</v>
      </c>
      <c r="N35" s="90" t="s">
        <v>102</v>
      </c>
      <c r="O35" s="90" t="s">
        <v>102</v>
      </c>
      <c r="P35" s="90" t="s">
        <v>102</v>
      </c>
      <c r="Q35" s="90" t="s">
        <v>102</v>
      </c>
      <c r="R35" s="90" t="s">
        <v>102</v>
      </c>
      <c r="S35" s="90" t="s">
        <v>102</v>
      </c>
      <c r="T35" s="90" t="s">
        <v>102</v>
      </c>
      <c r="U35" s="90" t="s">
        <v>102</v>
      </c>
      <c r="V35" s="90" t="s">
        <v>102</v>
      </c>
      <c r="W35" s="90" t="s">
        <v>102</v>
      </c>
      <c r="X35" s="90" t="s">
        <v>102</v>
      </c>
      <c r="Y35" s="90" t="s">
        <v>102</v>
      </c>
      <c r="Z35" s="90" t="s">
        <v>102</v>
      </c>
      <c r="AA35" s="90" t="s">
        <v>102</v>
      </c>
    </row>
    <row r="36" spans="1:27" ht="15" x14ac:dyDescent="0.25">
      <c r="A36" s="88" t="s">
        <v>262</v>
      </c>
      <c r="B36" s="88" t="s">
        <v>176</v>
      </c>
      <c r="C36" s="88" t="s">
        <v>263</v>
      </c>
      <c r="D36" s="90" t="s">
        <v>115</v>
      </c>
      <c r="E36" s="90" t="s">
        <v>102</v>
      </c>
      <c r="F36" s="90" t="s">
        <v>115</v>
      </c>
      <c r="G36" s="90" t="s">
        <v>102</v>
      </c>
      <c r="H36" s="90" t="s">
        <v>264</v>
      </c>
      <c r="I36" s="90" t="s">
        <v>102</v>
      </c>
      <c r="J36" s="90" t="s">
        <v>265</v>
      </c>
      <c r="K36" s="90" t="s">
        <v>265</v>
      </c>
      <c r="L36" s="90" t="s">
        <v>102</v>
      </c>
      <c r="M36" s="90" t="s">
        <v>102</v>
      </c>
      <c r="N36" s="90" t="s">
        <v>102</v>
      </c>
      <c r="O36" s="90" t="s">
        <v>102</v>
      </c>
      <c r="P36" s="90" t="s">
        <v>102</v>
      </c>
      <c r="Q36" s="90" t="s">
        <v>102</v>
      </c>
      <c r="R36" s="90" t="s">
        <v>102</v>
      </c>
      <c r="S36" s="90" t="s">
        <v>102</v>
      </c>
      <c r="T36" s="90" t="s">
        <v>102</v>
      </c>
      <c r="U36" s="90" t="s">
        <v>265</v>
      </c>
      <c r="V36" s="90" t="s">
        <v>102</v>
      </c>
      <c r="W36" s="90" t="s">
        <v>102</v>
      </c>
      <c r="X36" s="90" t="s">
        <v>102</v>
      </c>
      <c r="Y36" s="90" t="s">
        <v>102</v>
      </c>
      <c r="Z36" s="90" t="s">
        <v>102</v>
      </c>
      <c r="AA36" s="90" t="s">
        <v>102</v>
      </c>
    </row>
    <row r="37" spans="1:27" ht="15" x14ac:dyDescent="0.25">
      <c r="A37" s="88" t="s">
        <v>262</v>
      </c>
      <c r="B37" s="88" t="s">
        <v>169</v>
      </c>
      <c r="C37" s="88" t="s">
        <v>170</v>
      </c>
      <c r="D37" s="90" t="s">
        <v>102</v>
      </c>
      <c r="E37" s="90" t="s">
        <v>102</v>
      </c>
      <c r="F37" s="90" t="s">
        <v>266</v>
      </c>
      <c r="G37" s="90" t="s">
        <v>102</v>
      </c>
      <c r="H37" s="90" t="s">
        <v>267</v>
      </c>
      <c r="I37" s="90" t="s">
        <v>102</v>
      </c>
      <c r="J37" s="90" t="s">
        <v>268</v>
      </c>
      <c r="K37" s="90" t="s">
        <v>269</v>
      </c>
      <c r="L37" s="90" t="s">
        <v>102</v>
      </c>
      <c r="M37" s="90" t="s">
        <v>270</v>
      </c>
      <c r="N37" s="90" t="s">
        <v>102</v>
      </c>
      <c r="O37" s="90" t="s">
        <v>271</v>
      </c>
      <c r="P37" s="90" t="s">
        <v>102</v>
      </c>
      <c r="Q37" s="90" t="s">
        <v>272</v>
      </c>
      <c r="R37" s="90" t="s">
        <v>102</v>
      </c>
      <c r="S37" s="90" t="s">
        <v>102</v>
      </c>
      <c r="T37" s="90" t="s">
        <v>102</v>
      </c>
      <c r="U37" s="90" t="s">
        <v>102</v>
      </c>
      <c r="V37" s="90" t="s">
        <v>102</v>
      </c>
      <c r="W37" s="90" t="s">
        <v>102</v>
      </c>
      <c r="X37" s="90" t="s">
        <v>102</v>
      </c>
      <c r="Y37" s="90" t="s">
        <v>102</v>
      </c>
      <c r="Z37" s="90" t="s">
        <v>102</v>
      </c>
      <c r="AA37" s="90" t="s">
        <v>102</v>
      </c>
    </row>
    <row r="38" spans="1:27" ht="15" x14ac:dyDescent="0.25">
      <c r="A38" s="88" t="s">
        <v>273</v>
      </c>
      <c r="B38" s="88" t="s">
        <v>162</v>
      </c>
      <c r="C38" s="88" t="s">
        <v>274</v>
      </c>
      <c r="D38" s="90" t="s">
        <v>275</v>
      </c>
      <c r="E38" s="90" t="s">
        <v>102</v>
      </c>
      <c r="F38" s="90" t="s">
        <v>275</v>
      </c>
      <c r="G38" s="90" t="s">
        <v>102</v>
      </c>
      <c r="H38" s="90" t="s">
        <v>276</v>
      </c>
      <c r="I38" s="90" t="s">
        <v>102</v>
      </c>
      <c r="J38" s="90" t="s">
        <v>156</v>
      </c>
      <c r="K38" s="90" t="s">
        <v>156</v>
      </c>
      <c r="L38" s="90" t="s">
        <v>141</v>
      </c>
      <c r="M38" s="90" t="s">
        <v>102</v>
      </c>
      <c r="N38" s="90" t="s">
        <v>102</v>
      </c>
      <c r="O38" s="90" t="s">
        <v>102</v>
      </c>
      <c r="P38" s="90" t="s">
        <v>102</v>
      </c>
      <c r="Q38" s="90" t="s">
        <v>102</v>
      </c>
      <c r="R38" s="90" t="s">
        <v>102</v>
      </c>
      <c r="S38" s="90" t="s">
        <v>102</v>
      </c>
      <c r="T38" s="90" t="s">
        <v>102</v>
      </c>
      <c r="U38" s="90" t="s">
        <v>102</v>
      </c>
      <c r="V38" s="90" t="s">
        <v>102</v>
      </c>
      <c r="W38" s="90" t="s">
        <v>102</v>
      </c>
      <c r="X38" s="90" t="s">
        <v>102</v>
      </c>
      <c r="Y38" s="90" t="s">
        <v>102</v>
      </c>
      <c r="Z38" s="90" t="s">
        <v>102</v>
      </c>
      <c r="AA38" s="90" t="s">
        <v>102</v>
      </c>
    </row>
    <row r="39" spans="1:27" ht="15" x14ac:dyDescent="0.25">
      <c r="A39" s="88" t="s">
        <v>277</v>
      </c>
      <c r="B39" s="88" t="s">
        <v>278</v>
      </c>
      <c r="C39" s="88" t="s">
        <v>170</v>
      </c>
      <c r="D39" s="90" t="s">
        <v>229</v>
      </c>
      <c r="E39" s="90" t="s">
        <v>279</v>
      </c>
      <c r="F39" s="90" t="s">
        <v>229</v>
      </c>
      <c r="G39" s="90" t="s">
        <v>102</v>
      </c>
      <c r="H39" s="90" t="s">
        <v>280</v>
      </c>
      <c r="I39" s="90" t="s">
        <v>102</v>
      </c>
      <c r="J39" s="90" t="s">
        <v>119</v>
      </c>
      <c r="K39" s="90" t="s">
        <v>119</v>
      </c>
      <c r="L39" s="90" t="s">
        <v>281</v>
      </c>
      <c r="M39" s="90" t="s">
        <v>102</v>
      </c>
      <c r="N39" s="90" t="s">
        <v>102</v>
      </c>
      <c r="O39" s="90" t="s">
        <v>102</v>
      </c>
      <c r="P39" s="90" t="s">
        <v>102</v>
      </c>
      <c r="Q39" s="90" t="s">
        <v>102</v>
      </c>
      <c r="R39" s="90" t="s">
        <v>102</v>
      </c>
      <c r="S39" s="90" t="s">
        <v>102</v>
      </c>
      <c r="T39" s="90" t="s">
        <v>102</v>
      </c>
      <c r="U39" s="90" t="s">
        <v>102</v>
      </c>
      <c r="V39" s="90" t="s">
        <v>102</v>
      </c>
      <c r="W39" s="90" t="s">
        <v>102</v>
      </c>
      <c r="X39" s="90" t="s">
        <v>102</v>
      </c>
      <c r="Y39" s="90" t="s">
        <v>102</v>
      </c>
      <c r="Z39" s="90" t="s">
        <v>102</v>
      </c>
      <c r="AA39" s="90" t="s">
        <v>102</v>
      </c>
    </row>
    <row r="40" spans="1:27" ht="15" x14ac:dyDescent="0.25">
      <c r="A40" s="88" t="s">
        <v>282</v>
      </c>
      <c r="B40" s="88" t="s">
        <v>169</v>
      </c>
      <c r="C40" s="88" t="s">
        <v>170</v>
      </c>
      <c r="D40" s="90" t="s">
        <v>102</v>
      </c>
      <c r="E40" s="90" t="s">
        <v>102</v>
      </c>
      <c r="F40" s="90" t="s">
        <v>102</v>
      </c>
      <c r="G40" s="90" t="s">
        <v>102</v>
      </c>
      <c r="H40" s="90" t="s">
        <v>283</v>
      </c>
      <c r="I40" s="90" t="s">
        <v>102</v>
      </c>
      <c r="J40" s="90" t="s">
        <v>284</v>
      </c>
      <c r="K40" s="90" t="s">
        <v>285</v>
      </c>
      <c r="L40" s="90" t="s">
        <v>286</v>
      </c>
      <c r="M40" s="90" t="s">
        <v>102</v>
      </c>
      <c r="N40" s="90" t="s">
        <v>102</v>
      </c>
      <c r="O40" s="90" t="s">
        <v>102</v>
      </c>
      <c r="P40" s="90" t="s">
        <v>102</v>
      </c>
      <c r="Q40" s="90" t="s">
        <v>102</v>
      </c>
      <c r="R40" s="90" t="s">
        <v>102</v>
      </c>
      <c r="S40" s="90" t="s">
        <v>102</v>
      </c>
      <c r="T40" s="90" t="s">
        <v>102</v>
      </c>
      <c r="U40" s="90" t="s">
        <v>102</v>
      </c>
      <c r="V40" s="90" t="s">
        <v>102</v>
      </c>
      <c r="W40" s="90" t="s">
        <v>102</v>
      </c>
      <c r="X40" s="90" t="s">
        <v>102</v>
      </c>
      <c r="Y40" s="90" t="s">
        <v>102</v>
      </c>
      <c r="Z40" s="90" t="s">
        <v>102</v>
      </c>
      <c r="AA40" s="90" t="s">
        <v>102</v>
      </c>
    </row>
    <row r="41" spans="1:27" ht="15" x14ac:dyDescent="0.25">
      <c r="A41" s="88" t="s">
        <v>282</v>
      </c>
      <c r="B41" s="88" t="s">
        <v>176</v>
      </c>
      <c r="C41" s="88" t="s">
        <v>287</v>
      </c>
      <c r="D41" s="90" t="s">
        <v>102</v>
      </c>
      <c r="E41" s="90" t="s">
        <v>102</v>
      </c>
      <c r="F41" s="90" t="s">
        <v>288</v>
      </c>
      <c r="G41" s="90" t="s">
        <v>102</v>
      </c>
      <c r="H41" s="90" t="s">
        <v>289</v>
      </c>
      <c r="I41" s="90" t="s">
        <v>102</v>
      </c>
      <c r="J41" s="90" t="s">
        <v>290</v>
      </c>
      <c r="K41" s="90" t="s">
        <v>102</v>
      </c>
      <c r="L41" s="90" t="s">
        <v>102</v>
      </c>
      <c r="M41" s="90" t="s">
        <v>102</v>
      </c>
      <c r="N41" s="90" t="s">
        <v>291</v>
      </c>
      <c r="O41" s="90" t="s">
        <v>102</v>
      </c>
      <c r="P41" s="90" t="s">
        <v>102</v>
      </c>
      <c r="Q41" s="90" t="s">
        <v>292</v>
      </c>
      <c r="R41" s="90" t="s">
        <v>102</v>
      </c>
      <c r="S41" s="90" t="s">
        <v>102</v>
      </c>
      <c r="T41" s="90" t="s">
        <v>102</v>
      </c>
      <c r="U41" s="90" t="s">
        <v>293</v>
      </c>
      <c r="V41" s="90" t="s">
        <v>102</v>
      </c>
      <c r="W41" s="90" t="s">
        <v>102</v>
      </c>
      <c r="X41" s="90" t="s">
        <v>102</v>
      </c>
      <c r="Y41" s="90" t="s">
        <v>102</v>
      </c>
      <c r="Z41" s="90" t="s">
        <v>102</v>
      </c>
      <c r="AA41" s="90" t="s">
        <v>102</v>
      </c>
    </row>
    <row r="42" spans="1:27" ht="15" x14ac:dyDescent="0.25">
      <c r="A42" s="88" t="s">
        <v>282</v>
      </c>
      <c r="B42" s="88" t="s">
        <v>154</v>
      </c>
      <c r="C42" s="88" t="s">
        <v>287</v>
      </c>
      <c r="D42" s="90" t="s">
        <v>102</v>
      </c>
      <c r="E42" s="90" t="s">
        <v>294</v>
      </c>
      <c r="F42" s="90" t="s">
        <v>102</v>
      </c>
      <c r="G42" s="90" t="s">
        <v>295</v>
      </c>
      <c r="H42" s="90" t="s">
        <v>296</v>
      </c>
      <c r="I42" s="90" t="s">
        <v>297</v>
      </c>
      <c r="J42" s="90" t="s">
        <v>102</v>
      </c>
      <c r="K42" s="90" t="s">
        <v>298</v>
      </c>
      <c r="L42" s="90" t="s">
        <v>299</v>
      </c>
      <c r="M42" s="90" t="s">
        <v>102</v>
      </c>
      <c r="N42" s="90" t="s">
        <v>102</v>
      </c>
      <c r="O42" s="90" t="s">
        <v>102</v>
      </c>
      <c r="P42" s="90" t="s">
        <v>102</v>
      </c>
      <c r="Q42" s="90" t="s">
        <v>102</v>
      </c>
      <c r="R42" s="90" t="s">
        <v>300</v>
      </c>
      <c r="S42" s="90" t="s">
        <v>301</v>
      </c>
      <c r="T42" s="90" t="s">
        <v>102</v>
      </c>
      <c r="U42" s="90" t="s">
        <v>302</v>
      </c>
      <c r="V42" s="90" t="s">
        <v>102</v>
      </c>
      <c r="W42" s="90" t="s">
        <v>102</v>
      </c>
      <c r="X42" s="90" t="s">
        <v>102</v>
      </c>
      <c r="Y42" s="90" t="s">
        <v>102</v>
      </c>
      <c r="Z42" s="90" t="s">
        <v>102</v>
      </c>
      <c r="AA42" s="90" t="s">
        <v>102</v>
      </c>
    </row>
    <row r="43" spans="1:27" ht="15" x14ac:dyDescent="0.25">
      <c r="A43" s="88" t="s">
        <v>303</v>
      </c>
      <c r="B43" s="88" t="s">
        <v>304</v>
      </c>
      <c r="C43" s="88" t="s">
        <v>305</v>
      </c>
      <c r="D43" s="90" t="s">
        <v>102</v>
      </c>
      <c r="E43" s="90" t="s">
        <v>102</v>
      </c>
      <c r="F43" s="90" t="s">
        <v>306</v>
      </c>
      <c r="G43" s="90" t="s">
        <v>102</v>
      </c>
      <c r="H43" s="90" t="s">
        <v>307</v>
      </c>
      <c r="I43" s="90" t="s">
        <v>102</v>
      </c>
      <c r="J43" s="90" t="s">
        <v>308</v>
      </c>
      <c r="K43" s="90" t="s">
        <v>309</v>
      </c>
      <c r="L43" s="90" t="s">
        <v>310</v>
      </c>
      <c r="M43" s="90" t="s">
        <v>102</v>
      </c>
      <c r="N43" s="90" t="s">
        <v>102</v>
      </c>
      <c r="O43" s="90" t="s">
        <v>102</v>
      </c>
      <c r="P43" s="90" t="s">
        <v>102</v>
      </c>
      <c r="Q43" s="90" t="s">
        <v>102</v>
      </c>
      <c r="R43" s="90" t="s">
        <v>102</v>
      </c>
      <c r="S43" s="90" t="s">
        <v>102</v>
      </c>
      <c r="T43" s="90" t="s">
        <v>102</v>
      </c>
      <c r="U43" s="90" t="s">
        <v>102</v>
      </c>
      <c r="V43" s="90" t="s">
        <v>102</v>
      </c>
      <c r="W43" s="90" t="s">
        <v>102</v>
      </c>
      <c r="X43" s="90" t="s">
        <v>102</v>
      </c>
      <c r="Y43" s="90" t="s">
        <v>102</v>
      </c>
      <c r="Z43" s="90" t="s">
        <v>102</v>
      </c>
      <c r="AA43" s="90" t="s">
        <v>102</v>
      </c>
    </row>
    <row r="44" spans="1:27" ht="15" x14ac:dyDescent="0.25">
      <c r="A44" s="88" t="s">
        <v>303</v>
      </c>
      <c r="B44" s="88" t="s">
        <v>311</v>
      </c>
      <c r="C44" s="88" t="s">
        <v>305</v>
      </c>
      <c r="D44" s="90" t="s">
        <v>102</v>
      </c>
      <c r="E44" s="90" t="s">
        <v>102</v>
      </c>
      <c r="F44" s="90" t="s">
        <v>306</v>
      </c>
      <c r="G44" s="90" t="s">
        <v>102</v>
      </c>
      <c r="H44" s="90" t="s">
        <v>307</v>
      </c>
      <c r="I44" s="90" t="s">
        <v>102</v>
      </c>
      <c r="J44" s="90" t="s">
        <v>308</v>
      </c>
      <c r="K44" s="90" t="s">
        <v>309</v>
      </c>
      <c r="L44" s="90" t="s">
        <v>310</v>
      </c>
      <c r="M44" s="90" t="s">
        <v>102</v>
      </c>
      <c r="N44" s="90" t="s">
        <v>102</v>
      </c>
      <c r="O44" s="90" t="s">
        <v>102</v>
      </c>
      <c r="P44" s="90" t="s">
        <v>102</v>
      </c>
      <c r="Q44" s="90" t="s">
        <v>102</v>
      </c>
      <c r="R44" s="90" t="s">
        <v>102</v>
      </c>
      <c r="S44" s="90" t="s">
        <v>102</v>
      </c>
      <c r="T44" s="90" t="s">
        <v>102</v>
      </c>
      <c r="U44" s="90" t="s">
        <v>102</v>
      </c>
      <c r="V44" s="90" t="s">
        <v>102</v>
      </c>
      <c r="W44" s="90" t="s">
        <v>102</v>
      </c>
      <c r="X44" s="90" t="s">
        <v>102</v>
      </c>
      <c r="Y44" s="90" t="s">
        <v>102</v>
      </c>
      <c r="Z44" s="90" t="s">
        <v>102</v>
      </c>
      <c r="AA44" s="90" t="s">
        <v>102</v>
      </c>
    </row>
    <row r="45" spans="1:27" ht="15" x14ac:dyDescent="0.25">
      <c r="A45" s="88" t="s">
        <v>303</v>
      </c>
      <c r="B45" s="88" t="s">
        <v>169</v>
      </c>
      <c r="C45" s="88" t="s">
        <v>305</v>
      </c>
      <c r="D45" s="90" t="s">
        <v>102</v>
      </c>
      <c r="E45" s="90" t="s">
        <v>102</v>
      </c>
      <c r="F45" s="90" t="s">
        <v>312</v>
      </c>
      <c r="G45" s="90" t="s">
        <v>102</v>
      </c>
      <c r="H45" s="90" t="s">
        <v>313</v>
      </c>
      <c r="I45" s="90" t="s">
        <v>102</v>
      </c>
      <c r="J45" s="90" t="s">
        <v>314</v>
      </c>
      <c r="K45" s="90" t="s">
        <v>315</v>
      </c>
      <c r="L45" s="90" t="s">
        <v>102</v>
      </c>
      <c r="M45" s="90" t="s">
        <v>102</v>
      </c>
      <c r="N45" s="90" t="s">
        <v>102</v>
      </c>
      <c r="O45" s="90" t="s">
        <v>102</v>
      </c>
      <c r="P45" s="90" t="s">
        <v>102</v>
      </c>
      <c r="Q45" s="90" t="s">
        <v>102</v>
      </c>
      <c r="R45" s="90" t="s">
        <v>102</v>
      </c>
      <c r="S45" s="90" t="s">
        <v>102</v>
      </c>
      <c r="T45" s="90" t="s">
        <v>102</v>
      </c>
      <c r="U45" s="90" t="s">
        <v>102</v>
      </c>
      <c r="V45" s="90" t="s">
        <v>102</v>
      </c>
      <c r="W45" s="90" t="s">
        <v>102</v>
      </c>
      <c r="X45" s="90" t="s">
        <v>102</v>
      </c>
      <c r="Y45" s="90" t="s">
        <v>102</v>
      </c>
      <c r="Z45" s="90" t="s">
        <v>102</v>
      </c>
      <c r="AA45" s="90" t="s">
        <v>102</v>
      </c>
    </row>
    <row r="46" spans="1:27" ht="15" x14ac:dyDescent="0.25">
      <c r="A46" s="88" t="s">
        <v>303</v>
      </c>
      <c r="B46" s="88" t="s">
        <v>316</v>
      </c>
      <c r="C46" s="88" t="s">
        <v>305</v>
      </c>
      <c r="D46" s="90" t="s">
        <v>102</v>
      </c>
      <c r="E46" s="90" t="s">
        <v>102</v>
      </c>
      <c r="F46" s="90" t="s">
        <v>306</v>
      </c>
      <c r="G46" s="90" t="s">
        <v>102</v>
      </c>
      <c r="H46" s="90" t="s">
        <v>307</v>
      </c>
      <c r="I46" s="90" t="s">
        <v>102</v>
      </c>
      <c r="J46" s="90" t="s">
        <v>308</v>
      </c>
      <c r="K46" s="90" t="s">
        <v>309</v>
      </c>
      <c r="L46" s="90" t="s">
        <v>310</v>
      </c>
      <c r="M46" s="90" t="s">
        <v>102</v>
      </c>
      <c r="N46" s="90" t="s">
        <v>102</v>
      </c>
      <c r="O46" s="90" t="s">
        <v>102</v>
      </c>
      <c r="P46" s="90" t="s">
        <v>102</v>
      </c>
      <c r="Q46" s="90" t="s">
        <v>102</v>
      </c>
      <c r="R46" s="90" t="s">
        <v>102</v>
      </c>
      <c r="S46" s="90" t="s">
        <v>102</v>
      </c>
      <c r="T46" s="90" t="s">
        <v>102</v>
      </c>
      <c r="U46" s="90" t="s">
        <v>102</v>
      </c>
      <c r="V46" s="90" t="s">
        <v>102</v>
      </c>
      <c r="W46" s="90" t="s">
        <v>102</v>
      </c>
      <c r="X46" s="90" t="s">
        <v>102</v>
      </c>
      <c r="Y46" s="90" t="s">
        <v>102</v>
      </c>
      <c r="Z46" s="90" t="s">
        <v>102</v>
      </c>
      <c r="AA46" s="90" t="s">
        <v>102</v>
      </c>
    </row>
    <row r="47" spans="1:27" ht="15" x14ac:dyDescent="0.25">
      <c r="A47" s="88" t="s">
        <v>303</v>
      </c>
      <c r="B47" s="88" t="s">
        <v>154</v>
      </c>
      <c r="C47" s="88" t="s">
        <v>305</v>
      </c>
      <c r="D47" s="90" t="s">
        <v>102</v>
      </c>
      <c r="E47" s="90" t="s">
        <v>317</v>
      </c>
      <c r="F47" s="90" t="s">
        <v>102</v>
      </c>
      <c r="G47" s="90" t="s">
        <v>318</v>
      </c>
      <c r="H47" s="90" t="s">
        <v>319</v>
      </c>
      <c r="I47" s="90" t="s">
        <v>320</v>
      </c>
      <c r="J47" s="90" t="s">
        <v>321</v>
      </c>
      <c r="K47" s="90" t="s">
        <v>102</v>
      </c>
      <c r="L47" s="90" t="s">
        <v>102</v>
      </c>
      <c r="M47" s="90" t="s">
        <v>102</v>
      </c>
      <c r="N47" s="90" t="s">
        <v>102</v>
      </c>
      <c r="O47" s="90" t="s">
        <v>102</v>
      </c>
      <c r="P47" s="90" t="s">
        <v>102</v>
      </c>
      <c r="Q47" s="90" t="s">
        <v>102</v>
      </c>
      <c r="R47" s="90" t="s">
        <v>102</v>
      </c>
      <c r="S47" s="90" t="s">
        <v>102</v>
      </c>
      <c r="T47" s="90" t="s">
        <v>102</v>
      </c>
      <c r="U47" s="90" t="s">
        <v>322</v>
      </c>
      <c r="V47" s="90" t="s">
        <v>102</v>
      </c>
      <c r="W47" s="90" t="s">
        <v>102</v>
      </c>
      <c r="X47" s="90" t="s">
        <v>102</v>
      </c>
      <c r="Y47" s="90" t="s">
        <v>102</v>
      </c>
      <c r="Z47" s="90" t="s">
        <v>102</v>
      </c>
      <c r="AA47" s="90" t="s">
        <v>102</v>
      </c>
    </row>
    <row r="48" spans="1:27" ht="15" x14ac:dyDescent="0.25">
      <c r="A48" s="88" t="s">
        <v>323</v>
      </c>
      <c r="B48" s="88" t="s">
        <v>162</v>
      </c>
      <c r="C48" s="88" t="s">
        <v>324</v>
      </c>
      <c r="D48" s="90" t="s">
        <v>325</v>
      </c>
      <c r="E48" s="90" t="s">
        <v>102</v>
      </c>
      <c r="F48" s="90" t="s">
        <v>325</v>
      </c>
      <c r="G48" s="90" t="s">
        <v>102</v>
      </c>
      <c r="H48" s="90" t="s">
        <v>326</v>
      </c>
      <c r="I48" s="90" t="s">
        <v>102</v>
      </c>
      <c r="J48" s="90" t="s">
        <v>327</v>
      </c>
      <c r="K48" s="90" t="s">
        <v>327</v>
      </c>
      <c r="L48" s="90" t="s">
        <v>328</v>
      </c>
      <c r="M48" s="90" t="s">
        <v>102</v>
      </c>
      <c r="N48" s="90" t="s">
        <v>102</v>
      </c>
      <c r="O48" s="90" t="s">
        <v>102</v>
      </c>
      <c r="P48" s="90" t="s">
        <v>102</v>
      </c>
      <c r="Q48" s="90" t="s">
        <v>102</v>
      </c>
      <c r="R48" s="90" t="s">
        <v>102</v>
      </c>
      <c r="S48" s="90" t="s">
        <v>102</v>
      </c>
      <c r="T48" s="90" t="s">
        <v>102</v>
      </c>
      <c r="U48" s="90" t="s">
        <v>102</v>
      </c>
      <c r="V48" s="90" t="s">
        <v>102</v>
      </c>
      <c r="W48" s="90" t="s">
        <v>102</v>
      </c>
      <c r="X48" s="90" t="s">
        <v>102</v>
      </c>
      <c r="Y48" s="90" t="s">
        <v>102</v>
      </c>
      <c r="Z48" s="90" t="s">
        <v>102</v>
      </c>
      <c r="AA48" s="90" t="s">
        <v>102</v>
      </c>
    </row>
    <row r="49" spans="1:27" ht="15" x14ac:dyDescent="0.25">
      <c r="A49" s="88" t="s">
        <v>329</v>
      </c>
      <c r="B49" s="88" t="s">
        <v>169</v>
      </c>
      <c r="C49" s="88" t="s">
        <v>101</v>
      </c>
      <c r="D49" s="90" t="s">
        <v>330</v>
      </c>
      <c r="E49" s="90" t="s">
        <v>102</v>
      </c>
      <c r="F49" s="90" t="s">
        <v>331</v>
      </c>
      <c r="G49" s="90" t="s">
        <v>102</v>
      </c>
      <c r="H49" s="90" t="s">
        <v>102</v>
      </c>
      <c r="I49" s="90" t="s">
        <v>102</v>
      </c>
      <c r="J49" s="90" t="s">
        <v>332</v>
      </c>
      <c r="K49" s="90" t="s">
        <v>102</v>
      </c>
      <c r="L49" s="90" t="s">
        <v>333</v>
      </c>
      <c r="M49" s="90" t="s">
        <v>102</v>
      </c>
      <c r="N49" s="90" t="s">
        <v>102</v>
      </c>
      <c r="O49" s="90" t="s">
        <v>102</v>
      </c>
      <c r="P49" s="90" t="s">
        <v>102</v>
      </c>
      <c r="Q49" s="90" t="s">
        <v>102</v>
      </c>
      <c r="R49" s="90" t="s">
        <v>102</v>
      </c>
      <c r="S49" s="90" t="s">
        <v>102</v>
      </c>
      <c r="T49" s="90" t="s">
        <v>102</v>
      </c>
      <c r="U49" s="90" t="s">
        <v>102</v>
      </c>
      <c r="V49" s="90" t="s">
        <v>102</v>
      </c>
      <c r="W49" s="90" t="s">
        <v>333</v>
      </c>
      <c r="X49" s="90" t="s">
        <v>219</v>
      </c>
      <c r="Y49" s="90" t="s">
        <v>219</v>
      </c>
      <c r="Z49" s="90" t="s">
        <v>219</v>
      </c>
      <c r="AA49" s="90" t="s">
        <v>219</v>
      </c>
    </row>
    <row r="50" spans="1:27" ht="15" x14ac:dyDescent="0.25">
      <c r="A50" s="88" t="s">
        <v>334</v>
      </c>
      <c r="B50" s="88" t="s">
        <v>335</v>
      </c>
      <c r="C50" s="88" t="s">
        <v>170</v>
      </c>
      <c r="D50" s="90" t="s">
        <v>102</v>
      </c>
      <c r="E50" s="90" t="s">
        <v>102</v>
      </c>
      <c r="F50" s="90" t="s">
        <v>336</v>
      </c>
      <c r="G50" s="90" t="s">
        <v>102</v>
      </c>
      <c r="H50" s="90" t="s">
        <v>337</v>
      </c>
      <c r="I50" s="90" t="s">
        <v>102</v>
      </c>
      <c r="J50" s="90" t="s">
        <v>338</v>
      </c>
      <c r="K50" s="90" t="s">
        <v>103</v>
      </c>
      <c r="L50" s="90" t="s">
        <v>140</v>
      </c>
      <c r="M50" s="90" t="s">
        <v>102</v>
      </c>
      <c r="N50" s="90" t="s">
        <v>102</v>
      </c>
      <c r="O50" s="90" t="s">
        <v>102</v>
      </c>
      <c r="P50" s="90" t="s">
        <v>102</v>
      </c>
      <c r="Q50" s="90" t="s">
        <v>102</v>
      </c>
      <c r="R50" s="90" t="s">
        <v>102</v>
      </c>
      <c r="S50" s="90" t="s">
        <v>102</v>
      </c>
      <c r="T50" s="90" t="s">
        <v>102</v>
      </c>
      <c r="U50" s="90" t="s">
        <v>171</v>
      </c>
      <c r="V50" s="90" t="s">
        <v>102</v>
      </c>
      <c r="W50" s="90" t="s">
        <v>102</v>
      </c>
      <c r="X50" s="90" t="s">
        <v>102</v>
      </c>
      <c r="Y50" s="90" t="s">
        <v>102</v>
      </c>
      <c r="Z50" s="90" t="s">
        <v>102</v>
      </c>
      <c r="AA50" s="90" t="s">
        <v>102</v>
      </c>
    </row>
    <row r="51" spans="1:27" ht="15" x14ac:dyDescent="0.25">
      <c r="A51" s="88" t="s">
        <v>334</v>
      </c>
      <c r="B51" s="88" t="s">
        <v>176</v>
      </c>
      <c r="C51" s="88" t="s">
        <v>339</v>
      </c>
      <c r="D51" s="90" t="s">
        <v>340</v>
      </c>
      <c r="E51" s="90" t="s">
        <v>102</v>
      </c>
      <c r="F51" s="90" t="s">
        <v>340</v>
      </c>
      <c r="G51" s="90" t="s">
        <v>102</v>
      </c>
      <c r="H51" s="90" t="s">
        <v>132</v>
      </c>
      <c r="I51" s="90" t="s">
        <v>102</v>
      </c>
      <c r="J51" s="90" t="s">
        <v>341</v>
      </c>
      <c r="K51" s="90" t="s">
        <v>341</v>
      </c>
      <c r="L51" s="90" t="s">
        <v>102</v>
      </c>
      <c r="M51" s="90" t="s">
        <v>102</v>
      </c>
      <c r="N51" s="90" t="s">
        <v>102</v>
      </c>
      <c r="O51" s="90" t="s">
        <v>102</v>
      </c>
      <c r="P51" s="90" t="s">
        <v>102</v>
      </c>
      <c r="Q51" s="90" t="s">
        <v>102</v>
      </c>
      <c r="R51" s="90" t="s">
        <v>102</v>
      </c>
      <c r="S51" s="90" t="s">
        <v>102</v>
      </c>
      <c r="T51" s="90" t="s">
        <v>102</v>
      </c>
      <c r="U51" s="90" t="s">
        <v>342</v>
      </c>
      <c r="V51" s="90" t="s">
        <v>102</v>
      </c>
      <c r="W51" s="90" t="s">
        <v>102</v>
      </c>
      <c r="X51" s="90" t="s">
        <v>102</v>
      </c>
      <c r="Y51" s="90" t="s">
        <v>102</v>
      </c>
      <c r="Z51" s="90" t="s">
        <v>102</v>
      </c>
      <c r="AA51" s="90" t="s">
        <v>102</v>
      </c>
    </row>
    <row r="52" spans="1:27" ht="15" x14ac:dyDescent="0.25">
      <c r="A52" s="88" t="s">
        <v>343</v>
      </c>
      <c r="B52" s="88" t="s">
        <v>169</v>
      </c>
      <c r="C52" s="88" t="s">
        <v>170</v>
      </c>
      <c r="D52" s="90" t="s">
        <v>344</v>
      </c>
      <c r="E52" s="90" t="s">
        <v>102</v>
      </c>
      <c r="F52" s="90" t="s">
        <v>345</v>
      </c>
      <c r="G52" s="90" t="s">
        <v>102</v>
      </c>
      <c r="H52" s="90" t="s">
        <v>346</v>
      </c>
      <c r="I52" s="90" t="s">
        <v>102</v>
      </c>
      <c r="J52" s="90" t="s">
        <v>347</v>
      </c>
      <c r="K52" s="90" t="s">
        <v>348</v>
      </c>
      <c r="L52" s="90" t="s">
        <v>349</v>
      </c>
      <c r="M52" s="90" t="s">
        <v>350</v>
      </c>
      <c r="N52" s="90" t="s">
        <v>351</v>
      </c>
      <c r="O52" s="90" t="s">
        <v>352</v>
      </c>
      <c r="P52" s="90" t="s">
        <v>353</v>
      </c>
      <c r="Q52" s="90" t="s">
        <v>354</v>
      </c>
      <c r="R52" s="90" t="s">
        <v>355</v>
      </c>
      <c r="S52" s="90" t="s">
        <v>356</v>
      </c>
      <c r="T52" s="90" t="s">
        <v>102</v>
      </c>
      <c r="U52" s="90" t="s">
        <v>357</v>
      </c>
      <c r="V52" s="90" t="s">
        <v>102</v>
      </c>
      <c r="W52" s="90" t="s">
        <v>358</v>
      </c>
      <c r="X52" s="90" t="s">
        <v>102</v>
      </c>
      <c r="Y52" s="90" t="s">
        <v>102</v>
      </c>
      <c r="Z52" s="90" t="s">
        <v>102</v>
      </c>
      <c r="AA52" s="90" t="s">
        <v>102</v>
      </c>
    </row>
    <row r="53" spans="1:27" ht="15" x14ac:dyDescent="0.25">
      <c r="A53" s="88" t="s">
        <v>343</v>
      </c>
      <c r="B53" s="88" t="s">
        <v>176</v>
      </c>
      <c r="C53" s="88" t="s">
        <v>170</v>
      </c>
      <c r="D53" s="90" t="s">
        <v>359</v>
      </c>
      <c r="E53" s="90" t="s">
        <v>102</v>
      </c>
      <c r="F53" s="90" t="s">
        <v>359</v>
      </c>
      <c r="G53" s="90" t="s">
        <v>102</v>
      </c>
      <c r="H53" s="90" t="s">
        <v>360</v>
      </c>
      <c r="I53" s="90" t="s">
        <v>102</v>
      </c>
      <c r="J53" s="90" t="s">
        <v>361</v>
      </c>
      <c r="K53" s="90" t="s">
        <v>361</v>
      </c>
      <c r="L53" s="90" t="s">
        <v>362</v>
      </c>
      <c r="M53" s="90" t="s">
        <v>102</v>
      </c>
      <c r="N53" s="90" t="s">
        <v>102</v>
      </c>
      <c r="O53" s="90" t="s">
        <v>102</v>
      </c>
      <c r="P53" s="90" t="s">
        <v>362</v>
      </c>
      <c r="Q53" s="90" t="s">
        <v>102</v>
      </c>
      <c r="R53" s="90" t="s">
        <v>102</v>
      </c>
      <c r="S53" s="90" t="s">
        <v>102</v>
      </c>
      <c r="T53" s="90" t="s">
        <v>102</v>
      </c>
      <c r="U53" s="90" t="s">
        <v>362</v>
      </c>
      <c r="V53" s="90" t="s">
        <v>102</v>
      </c>
      <c r="W53" s="90" t="s">
        <v>102</v>
      </c>
      <c r="X53" s="90" t="s">
        <v>102</v>
      </c>
      <c r="Y53" s="90" t="s">
        <v>102</v>
      </c>
      <c r="Z53" s="90" t="s">
        <v>102</v>
      </c>
      <c r="AA53" s="90" t="s">
        <v>102</v>
      </c>
    </row>
    <row r="54" spans="1:27" ht="15" x14ac:dyDescent="0.25">
      <c r="A54" s="88" t="s">
        <v>343</v>
      </c>
      <c r="B54" s="88" t="s">
        <v>363</v>
      </c>
      <c r="C54" s="88" t="s">
        <v>170</v>
      </c>
      <c r="D54" s="90" t="s">
        <v>102</v>
      </c>
      <c r="E54" s="90" t="s">
        <v>102</v>
      </c>
      <c r="F54" s="90" t="s">
        <v>102</v>
      </c>
      <c r="G54" s="90" t="s">
        <v>102</v>
      </c>
      <c r="H54" s="90" t="s">
        <v>158</v>
      </c>
      <c r="I54" s="90" t="s">
        <v>102</v>
      </c>
      <c r="J54" s="90" t="s">
        <v>102</v>
      </c>
      <c r="K54" s="90" t="s">
        <v>102</v>
      </c>
      <c r="L54" s="90" t="s">
        <v>102</v>
      </c>
      <c r="M54" s="90" t="s">
        <v>102</v>
      </c>
      <c r="N54" s="90" t="s">
        <v>102</v>
      </c>
      <c r="O54" s="90" t="s">
        <v>102</v>
      </c>
      <c r="P54" s="90" t="s">
        <v>102</v>
      </c>
      <c r="Q54" s="90" t="s">
        <v>102</v>
      </c>
      <c r="R54" s="90" t="s">
        <v>102</v>
      </c>
      <c r="S54" s="90" t="s">
        <v>102</v>
      </c>
      <c r="T54" s="90" t="s">
        <v>102</v>
      </c>
      <c r="U54" s="90" t="s">
        <v>102</v>
      </c>
      <c r="V54" s="90" t="s">
        <v>102</v>
      </c>
      <c r="W54" s="90" t="s">
        <v>102</v>
      </c>
      <c r="X54" s="90" t="s">
        <v>102</v>
      </c>
      <c r="Y54" s="90" t="s">
        <v>102</v>
      </c>
      <c r="Z54" s="90" t="s">
        <v>102</v>
      </c>
      <c r="AA54" s="90" t="s">
        <v>102</v>
      </c>
    </row>
    <row r="55" spans="1:27" ht="15" x14ac:dyDescent="0.25">
      <c r="A55" s="88" t="s">
        <v>343</v>
      </c>
      <c r="B55" s="88" t="s">
        <v>154</v>
      </c>
      <c r="C55" s="88" t="s">
        <v>170</v>
      </c>
      <c r="D55" s="90" t="s">
        <v>102</v>
      </c>
      <c r="E55" s="90" t="s">
        <v>102</v>
      </c>
      <c r="F55" s="90" t="s">
        <v>102</v>
      </c>
      <c r="G55" s="90" t="s">
        <v>102</v>
      </c>
      <c r="H55" s="90" t="s">
        <v>158</v>
      </c>
      <c r="I55" s="90" t="s">
        <v>102</v>
      </c>
      <c r="J55" s="90" t="s">
        <v>102</v>
      </c>
      <c r="K55" s="90" t="s">
        <v>108</v>
      </c>
      <c r="L55" s="90" t="s">
        <v>117</v>
      </c>
      <c r="M55" s="90" t="s">
        <v>102</v>
      </c>
      <c r="N55" s="90" t="s">
        <v>102</v>
      </c>
      <c r="O55" s="90" t="s">
        <v>102</v>
      </c>
      <c r="P55" s="90" t="s">
        <v>102</v>
      </c>
      <c r="Q55" s="90" t="s">
        <v>364</v>
      </c>
      <c r="R55" s="90" t="s">
        <v>102</v>
      </c>
      <c r="S55" s="90" t="s">
        <v>102</v>
      </c>
      <c r="T55" s="90" t="s">
        <v>102</v>
      </c>
      <c r="U55" s="90" t="s">
        <v>365</v>
      </c>
      <c r="V55" s="90" t="s">
        <v>102</v>
      </c>
      <c r="W55" s="90" t="s">
        <v>102</v>
      </c>
      <c r="X55" s="90" t="s">
        <v>102</v>
      </c>
      <c r="Y55" s="90" t="s">
        <v>102</v>
      </c>
      <c r="Z55" s="90" t="s">
        <v>102</v>
      </c>
      <c r="AA55" s="90" t="s">
        <v>102</v>
      </c>
    </row>
    <row r="56" spans="1:27" ht="15" x14ac:dyDescent="0.25">
      <c r="A56" s="88" t="s">
        <v>366</v>
      </c>
      <c r="B56" s="88" t="s">
        <v>304</v>
      </c>
      <c r="C56" s="88" t="s">
        <v>170</v>
      </c>
      <c r="D56" s="90" t="s">
        <v>367</v>
      </c>
      <c r="E56" s="90" t="s">
        <v>102</v>
      </c>
      <c r="F56" s="90" t="s">
        <v>368</v>
      </c>
      <c r="G56" s="90" t="s">
        <v>102</v>
      </c>
      <c r="H56" s="90" t="s">
        <v>112</v>
      </c>
      <c r="I56" s="90" t="s">
        <v>102</v>
      </c>
      <c r="J56" s="90" t="s">
        <v>195</v>
      </c>
      <c r="K56" s="90" t="s">
        <v>150</v>
      </c>
      <c r="L56" s="90" t="s">
        <v>156</v>
      </c>
      <c r="M56" s="90" t="s">
        <v>102</v>
      </c>
      <c r="N56" s="90" t="s">
        <v>102</v>
      </c>
      <c r="O56" s="90" t="s">
        <v>102</v>
      </c>
      <c r="P56" s="90" t="s">
        <v>369</v>
      </c>
      <c r="Q56" s="90" t="s">
        <v>369</v>
      </c>
      <c r="R56" s="90" t="s">
        <v>102</v>
      </c>
      <c r="S56" s="90" t="s">
        <v>102</v>
      </c>
      <c r="T56" s="90" t="s">
        <v>102</v>
      </c>
      <c r="U56" s="90" t="s">
        <v>151</v>
      </c>
      <c r="V56" s="90" t="s">
        <v>370</v>
      </c>
      <c r="W56" s="90" t="s">
        <v>102</v>
      </c>
      <c r="X56" s="90" t="s">
        <v>102</v>
      </c>
      <c r="Y56" s="90" t="s">
        <v>102</v>
      </c>
      <c r="Z56" s="90" t="s">
        <v>102</v>
      </c>
      <c r="AA56" s="90" t="s">
        <v>102</v>
      </c>
    </row>
    <row r="57" spans="1:27" ht="15" x14ac:dyDescent="0.25">
      <c r="A57" s="88" t="s">
        <v>366</v>
      </c>
      <c r="B57" s="88" t="s">
        <v>371</v>
      </c>
      <c r="C57" s="88" t="s">
        <v>170</v>
      </c>
      <c r="D57" s="90" t="s">
        <v>367</v>
      </c>
      <c r="E57" s="90" t="s">
        <v>102</v>
      </c>
      <c r="F57" s="90" t="s">
        <v>368</v>
      </c>
      <c r="G57" s="90" t="s">
        <v>102</v>
      </c>
      <c r="H57" s="90" t="s">
        <v>112</v>
      </c>
      <c r="I57" s="90" t="s">
        <v>102</v>
      </c>
      <c r="J57" s="90" t="s">
        <v>195</v>
      </c>
      <c r="K57" s="90" t="s">
        <v>150</v>
      </c>
      <c r="L57" s="90" t="s">
        <v>156</v>
      </c>
      <c r="M57" s="90" t="s">
        <v>102</v>
      </c>
      <c r="N57" s="90" t="s">
        <v>102</v>
      </c>
      <c r="O57" s="90" t="s">
        <v>102</v>
      </c>
      <c r="P57" s="90" t="s">
        <v>369</v>
      </c>
      <c r="Q57" s="90" t="s">
        <v>369</v>
      </c>
      <c r="R57" s="90" t="s">
        <v>102</v>
      </c>
      <c r="S57" s="90" t="s">
        <v>102</v>
      </c>
      <c r="T57" s="90" t="s">
        <v>102</v>
      </c>
      <c r="U57" s="90" t="s">
        <v>151</v>
      </c>
      <c r="V57" s="90" t="s">
        <v>370</v>
      </c>
      <c r="W57" s="90" t="s">
        <v>102</v>
      </c>
      <c r="X57" s="90" t="s">
        <v>102</v>
      </c>
      <c r="Y57" s="90" t="s">
        <v>102</v>
      </c>
      <c r="Z57" s="90" t="s">
        <v>102</v>
      </c>
      <c r="AA57" s="90" t="s">
        <v>102</v>
      </c>
    </row>
    <row r="58" spans="1:27" ht="15" x14ac:dyDescent="0.25">
      <c r="A58" s="88" t="s">
        <v>366</v>
      </c>
      <c r="B58" s="88" t="s">
        <v>169</v>
      </c>
      <c r="C58" s="88" t="s">
        <v>170</v>
      </c>
      <c r="D58" s="90" t="s">
        <v>102</v>
      </c>
      <c r="E58" s="90" t="s">
        <v>102</v>
      </c>
      <c r="F58" s="90" t="s">
        <v>240</v>
      </c>
      <c r="G58" s="90" t="s">
        <v>102</v>
      </c>
      <c r="H58" s="90" t="s">
        <v>372</v>
      </c>
      <c r="I58" s="90" t="s">
        <v>102</v>
      </c>
      <c r="J58" s="90" t="s">
        <v>151</v>
      </c>
      <c r="K58" s="90" t="s">
        <v>112</v>
      </c>
      <c r="L58" s="90" t="s">
        <v>102</v>
      </c>
      <c r="M58" s="90" t="s">
        <v>102</v>
      </c>
      <c r="N58" s="90" t="s">
        <v>102</v>
      </c>
      <c r="O58" s="90" t="s">
        <v>102</v>
      </c>
      <c r="P58" s="90" t="s">
        <v>102</v>
      </c>
      <c r="Q58" s="90" t="s">
        <v>102</v>
      </c>
      <c r="R58" s="90" t="s">
        <v>102</v>
      </c>
      <c r="S58" s="90" t="s">
        <v>102</v>
      </c>
      <c r="T58" s="90" t="s">
        <v>102</v>
      </c>
      <c r="U58" s="90" t="s">
        <v>102</v>
      </c>
      <c r="V58" s="90" t="s">
        <v>102</v>
      </c>
      <c r="W58" s="90" t="s">
        <v>102</v>
      </c>
      <c r="X58" s="90" t="s">
        <v>102</v>
      </c>
      <c r="Y58" s="90" t="s">
        <v>102</v>
      </c>
      <c r="Z58" s="90" t="s">
        <v>102</v>
      </c>
      <c r="AA58" s="90" t="s">
        <v>102</v>
      </c>
    </row>
    <row r="59" spans="1:27" ht="15" x14ac:dyDescent="0.25">
      <c r="A59" s="88" t="s">
        <v>366</v>
      </c>
      <c r="B59" s="88" t="s">
        <v>176</v>
      </c>
      <c r="C59" s="88" t="s">
        <v>170</v>
      </c>
      <c r="D59" s="90" t="s">
        <v>373</v>
      </c>
      <c r="E59" s="90" t="s">
        <v>102</v>
      </c>
      <c r="F59" s="90" t="s">
        <v>373</v>
      </c>
      <c r="G59" s="90" t="s">
        <v>102</v>
      </c>
      <c r="H59" s="90" t="s">
        <v>374</v>
      </c>
      <c r="I59" s="90" t="s">
        <v>102</v>
      </c>
      <c r="J59" s="90" t="s">
        <v>375</v>
      </c>
      <c r="K59" s="90" t="s">
        <v>375</v>
      </c>
      <c r="L59" s="90" t="s">
        <v>376</v>
      </c>
      <c r="M59" s="90" t="s">
        <v>102</v>
      </c>
      <c r="N59" s="90" t="s">
        <v>102</v>
      </c>
      <c r="O59" s="90" t="s">
        <v>102</v>
      </c>
      <c r="P59" s="90" t="s">
        <v>376</v>
      </c>
      <c r="Q59" s="90" t="s">
        <v>102</v>
      </c>
      <c r="R59" s="90" t="s">
        <v>102</v>
      </c>
      <c r="S59" s="90" t="s">
        <v>102</v>
      </c>
      <c r="T59" s="90" t="s">
        <v>102</v>
      </c>
      <c r="U59" s="90" t="s">
        <v>376</v>
      </c>
      <c r="V59" s="90" t="s">
        <v>102</v>
      </c>
      <c r="W59" s="90" t="s">
        <v>102</v>
      </c>
      <c r="X59" s="90" t="s">
        <v>102</v>
      </c>
      <c r="Y59" s="90" t="s">
        <v>102</v>
      </c>
      <c r="Z59" s="90" t="s">
        <v>102</v>
      </c>
      <c r="AA59" s="90" t="s">
        <v>102</v>
      </c>
    </row>
    <row r="60" spans="1:27" ht="15" x14ac:dyDescent="0.25">
      <c r="A60" s="88" t="s">
        <v>366</v>
      </c>
      <c r="B60" s="88" t="s">
        <v>316</v>
      </c>
      <c r="C60" s="88" t="s">
        <v>170</v>
      </c>
      <c r="D60" s="90" t="s">
        <v>367</v>
      </c>
      <c r="E60" s="90" t="s">
        <v>102</v>
      </c>
      <c r="F60" s="90" t="s">
        <v>368</v>
      </c>
      <c r="G60" s="90" t="s">
        <v>102</v>
      </c>
      <c r="H60" s="90" t="s">
        <v>112</v>
      </c>
      <c r="I60" s="90" t="s">
        <v>102</v>
      </c>
      <c r="J60" s="90" t="s">
        <v>195</v>
      </c>
      <c r="K60" s="90" t="s">
        <v>150</v>
      </c>
      <c r="L60" s="90" t="s">
        <v>156</v>
      </c>
      <c r="M60" s="90" t="s">
        <v>102</v>
      </c>
      <c r="N60" s="90" t="s">
        <v>102</v>
      </c>
      <c r="O60" s="90" t="s">
        <v>102</v>
      </c>
      <c r="P60" s="90" t="s">
        <v>369</v>
      </c>
      <c r="Q60" s="90" t="s">
        <v>369</v>
      </c>
      <c r="R60" s="90" t="s">
        <v>102</v>
      </c>
      <c r="S60" s="90" t="s">
        <v>102</v>
      </c>
      <c r="T60" s="90" t="s">
        <v>102</v>
      </c>
      <c r="U60" s="90" t="s">
        <v>151</v>
      </c>
      <c r="V60" s="90" t="s">
        <v>370</v>
      </c>
      <c r="W60" s="90" t="s">
        <v>102</v>
      </c>
      <c r="X60" s="90" t="s">
        <v>102</v>
      </c>
      <c r="Y60" s="90" t="s">
        <v>102</v>
      </c>
      <c r="Z60" s="90" t="s">
        <v>102</v>
      </c>
      <c r="AA60" s="90" t="s">
        <v>102</v>
      </c>
    </row>
    <row r="61" spans="1:27" ht="15" x14ac:dyDescent="0.25">
      <c r="A61" s="88" t="s">
        <v>366</v>
      </c>
      <c r="B61" s="88" t="s">
        <v>154</v>
      </c>
      <c r="C61" s="88" t="s">
        <v>170</v>
      </c>
      <c r="D61" s="90" t="s">
        <v>102</v>
      </c>
      <c r="E61" s="90" t="s">
        <v>194</v>
      </c>
      <c r="F61" s="90" t="s">
        <v>102</v>
      </c>
      <c r="G61" s="90" t="s">
        <v>229</v>
      </c>
      <c r="H61" s="90" t="s">
        <v>377</v>
      </c>
      <c r="I61" s="90" t="s">
        <v>114</v>
      </c>
      <c r="J61" s="90" t="s">
        <v>195</v>
      </c>
      <c r="K61" s="90" t="s">
        <v>174</v>
      </c>
      <c r="L61" s="90" t="s">
        <v>378</v>
      </c>
      <c r="M61" s="90" t="s">
        <v>102</v>
      </c>
      <c r="N61" s="90" t="s">
        <v>102</v>
      </c>
      <c r="O61" s="90" t="s">
        <v>102</v>
      </c>
      <c r="P61" s="90" t="s">
        <v>102</v>
      </c>
      <c r="Q61" s="90" t="s">
        <v>102</v>
      </c>
      <c r="R61" s="90" t="s">
        <v>102</v>
      </c>
      <c r="S61" s="90" t="s">
        <v>102</v>
      </c>
      <c r="T61" s="90" t="s">
        <v>102</v>
      </c>
      <c r="U61" s="90" t="s">
        <v>147</v>
      </c>
      <c r="V61" s="90" t="s">
        <v>102</v>
      </c>
      <c r="W61" s="90" t="s">
        <v>102</v>
      </c>
      <c r="X61" s="90" t="s">
        <v>102</v>
      </c>
      <c r="Y61" s="90" t="s">
        <v>102</v>
      </c>
      <c r="Z61" s="90" t="s">
        <v>102</v>
      </c>
      <c r="AA61" s="90" t="s">
        <v>102</v>
      </c>
    </row>
    <row r="62" spans="1:27" ht="15" x14ac:dyDescent="0.25">
      <c r="A62" s="88" t="s">
        <v>379</v>
      </c>
      <c r="B62" s="88" t="s">
        <v>154</v>
      </c>
      <c r="C62" s="88" t="s">
        <v>101</v>
      </c>
      <c r="D62" s="90" t="s">
        <v>102</v>
      </c>
      <c r="E62" s="90" t="s">
        <v>102</v>
      </c>
      <c r="F62" s="90" t="s">
        <v>192</v>
      </c>
      <c r="G62" s="90" t="s">
        <v>102</v>
      </c>
      <c r="H62" s="90" t="s">
        <v>210</v>
      </c>
      <c r="I62" s="90" t="s">
        <v>102</v>
      </c>
      <c r="J62" s="90" t="s">
        <v>336</v>
      </c>
      <c r="K62" s="90" t="s">
        <v>281</v>
      </c>
      <c r="L62" s="90" t="s">
        <v>380</v>
      </c>
      <c r="M62" s="90" t="s">
        <v>102</v>
      </c>
      <c r="N62" s="90" t="s">
        <v>102</v>
      </c>
      <c r="O62" s="90" t="s">
        <v>229</v>
      </c>
      <c r="P62" s="90" t="s">
        <v>150</v>
      </c>
      <c r="Q62" s="90" t="s">
        <v>102</v>
      </c>
      <c r="R62" s="90" t="s">
        <v>156</v>
      </c>
      <c r="S62" s="90" t="s">
        <v>381</v>
      </c>
      <c r="T62" s="90" t="s">
        <v>102</v>
      </c>
      <c r="U62" s="90" t="s">
        <v>138</v>
      </c>
      <c r="V62" s="90" t="s">
        <v>102</v>
      </c>
      <c r="W62" s="90" t="s">
        <v>102</v>
      </c>
      <c r="X62" s="90" t="s">
        <v>102</v>
      </c>
      <c r="Y62" s="90" t="s">
        <v>102</v>
      </c>
      <c r="Z62" s="90" t="s">
        <v>102</v>
      </c>
      <c r="AA62" s="90" t="s">
        <v>102</v>
      </c>
    </row>
    <row r="63" spans="1:27" ht="15" x14ac:dyDescent="0.25">
      <c r="A63" s="88" t="s">
        <v>382</v>
      </c>
      <c r="B63" s="88" t="s">
        <v>169</v>
      </c>
      <c r="C63" s="88" t="s">
        <v>170</v>
      </c>
      <c r="D63" s="90" t="s">
        <v>102</v>
      </c>
      <c r="E63" s="90" t="s">
        <v>102</v>
      </c>
      <c r="F63" s="90" t="s">
        <v>194</v>
      </c>
      <c r="G63" s="90" t="s">
        <v>102</v>
      </c>
      <c r="H63" s="90" t="s">
        <v>368</v>
      </c>
      <c r="I63" s="90" t="s">
        <v>102</v>
      </c>
      <c r="J63" s="90" t="s">
        <v>338</v>
      </c>
      <c r="K63" s="90" t="s">
        <v>152</v>
      </c>
      <c r="L63" s="90" t="s">
        <v>383</v>
      </c>
      <c r="M63" s="90" t="s">
        <v>102</v>
      </c>
      <c r="N63" s="90" t="s">
        <v>102</v>
      </c>
      <c r="O63" s="90" t="s">
        <v>102</v>
      </c>
      <c r="P63" s="90" t="s">
        <v>102</v>
      </c>
      <c r="Q63" s="90" t="s">
        <v>102</v>
      </c>
      <c r="R63" s="90" t="s">
        <v>102</v>
      </c>
      <c r="S63" s="90" t="s">
        <v>102</v>
      </c>
      <c r="T63" s="90" t="s">
        <v>102</v>
      </c>
      <c r="U63" s="90" t="s">
        <v>102</v>
      </c>
      <c r="V63" s="90" t="s">
        <v>102</v>
      </c>
      <c r="W63" s="90" t="s">
        <v>102</v>
      </c>
      <c r="X63" s="90" t="s">
        <v>102</v>
      </c>
      <c r="Y63" s="90" t="s">
        <v>102</v>
      </c>
      <c r="Z63" s="90" t="s">
        <v>102</v>
      </c>
      <c r="AA63" s="90" t="s">
        <v>102</v>
      </c>
    </row>
    <row r="64" spans="1:27" ht="15" x14ac:dyDescent="0.25">
      <c r="A64" s="88" t="s">
        <v>384</v>
      </c>
      <c r="B64" s="88" t="s">
        <v>385</v>
      </c>
      <c r="C64" s="88" t="s">
        <v>170</v>
      </c>
      <c r="D64" s="90" t="s">
        <v>229</v>
      </c>
      <c r="E64" s="90" t="s">
        <v>102</v>
      </c>
      <c r="F64" s="90" t="s">
        <v>229</v>
      </c>
      <c r="G64" s="90" t="s">
        <v>102</v>
      </c>
      <c r="H64" s="90" t="s">
        <v>280</v>
      </c>
      <c r="I64" s="90" t="s">
        <v>102</v>
      </c>
      <c r="J64" s="90" t="s">
        <v>119</v>
      </c>
      <c r="K64" s="90" t="s">
        <v>119</v>
      </c>
      <c r="L64" s="90" t="s">
        <v>112</v>
      </c>
      <c r="M64" s="90" t="s">
        <v>102</v>
      </c>
      <c r="N64" s="90" t="s">
        <v>102</v>
      </c>
      <c r="O64" s="90" t="s">
        <v>102</v>
      </c>
      <c r="P64" s="90" t="s">
        <v>158</v>
      </c>
      <c r="Q64" s="90" t="s">
        <v>102</v>
      </c>
      <c r="R64" s="90" t="s">
        <v>102</v>
      </c>
      <c r="S64" s="90" t="s">
        <v>102</v>
      </c>
      <c r="T64" s="90" t="s">
        <v>102</v>
      </c>
      <c r="U64" s="90" t="s">
        <v>386</v>
      </c>
      <c r="V64" s="90" t="s">
        <v>279</v>
      </c>
      <c r="W64" s="90" t="s">
        <v>279</v>
      </c>
      <c r="X64" s="90" t="s">
        <v>102</v>
      </c>
      <c r="Y64" s="90" t="s">
        <v>279</v>
      </c>
      <c r="Z64" s="90" t="s">
        <v>102</v>
      </c>
      <c r="AA64" s="90" t="s">
        <v>279</v>
      </c>
    </row>
    <row r="65" spans="1:27" ht="15" x14ac:dyDescent="0.25">
      <c r="A65" s="88" t="s">
        <v>384</v>
      </c>
      <c r="B65" s="88" t="s">
        <v>304</v>
      </c>
      <c r="C65" s="88" t="s">
        <v>170</v>
      </c>
      <c r="D65" s="90" t="s">
        <v>192</v>
      </c>
      <c r="E65" s="90" t="s">
        <v>102</v>
      </c>
      <c r="F65" s="90" t="s">
        <v>340</v>
      </c>
      <c r="G65" s="90" t="s">
        <v>102</v>
      </c>
      <c r="H65" s="90" t="s">
        <v>387</v>
      </c>
      <c r="I65" s="90" t="s">
        <v>102</v>
      </c>
      <c r="J65" s="90" t="s">
        <v>115</v>
      </c>
      <c r="K65" s="90" t="s">
        <v>188</v>
      </c>
      <c r="L65" s="90" t="s">
        <v>195</v>
      </c>
      <c r="M65" s="90" t="s">
        <v>102</v>
      </c>
      <c r="N65" s="90" t="s">
        <v>102</v>
      </c>
      <c r="O65" s="90" t="s">
        <v>102</v>
      </c>
      <c r="P65" s="90" t="s">
        <v>388</v>
      </c>
      <c r="Q65" s="90" t="s">
        <v>127</v>
      </c>
      <c r="R65" s="90" t="s">
        <v>102</v>
      </c>
      <c r="S65" s="90" t="s">
        <v>102</v>
      </c>
      <c r="T65" s="90" t="s">
        <v>102</v>
      </c>
      <c r="U65" s="90" t="s">
        <v>388</v>
      </c>
      <c r="V65" s="90" t="s">
        <v>389</v>
      </c>
      <c r="W65" s="90" t="s">
        <v>102</v>
      </c>
      <c r="X65" s="90" t="s">
        <v>102</v>
      </c>
      <c r="Y65" s="90" t="s">
        <v>102</v>
      </c>
      <c r="Z65" s="90" t="s">
        <v>102</v>
      </c>
      <c r="AA65" s="90" t="s">
        <v>102</v>
      </c>
    </row>
    <row r="66" spans="1:27" ht="15" x14ac:dyDescent="0.25">
      <c r="A66" s="88" t="s">
        <v>384</v>
      </c>
      <c r="B66" s="88" t="s">
        <v>390</v>
      </c>
      <c r="C66" s="88" t="s">
        <v>170</v>
      </c>
      <c r="D66" s="90" t="s">
        <v>340</v>
      </c>
      <c r="E66" s="90" t="s">
        <v>102</v>
      </c>
      <c r="F66" s="90" t="s">
        <v>340</v>
      </c>
      <c r="G66" s="90" t="s">
        <v>102</v>
      </c>
      <c r="H66" s="90" t="s">
        <v>387</v>
      </c>
      <c r="I66" s="90" t="s">
        <v>102</v>
      </c>
      <c r="J66" s="90" t="s">
        <v>115</v>
      </c>
      <c r="K66" s="90" t="s">
        <v>188</v>
      </c>
      <c r="L66" s="90" t="s">
        <v>188</v>
      </c>
      <c r="M66" s="90" t="s">
        <v>102</v>
      </c>
      <c r="N66" s="90" t="s">
        <v>102</v>
      </c>
      <c r="O66" s="90" t="s">
        <v>102</v>
      </c>
      <c r="P66" s="90" t="s">
        <v>102</v>
      </c>
      <c r="Q66" s="90" t="s">
        <v>127</v>
      </c>
      <c r="R66" s="90" t="s">
        <v>102</v>
      </c>
      <c r="S66" s="90" t="s">
        <v>102</v>
      </c>
      <c r="T66" s="90" t="s">
        <v>102</v>
      </c>
      <c r="U66" s="90" t="s">
        <v>127</v>
      </c>
      <c r="V66" s="90" t="s">
        <v>102</v>
      </c>
      <c r="W66" s="90" t="s">
        <v>102</v>
      </c>
      <c r="X66" s="90" t="s">
        <v>102</v>
      </c>
      <c r="Y66" s="90" t="s">
        <v>102</v>
      </c>
      <c r="Z66" s="90" t="s">
        <v>102</v>
      </c>
      <c r="AA66" s="90" t="s">
        <v>102</v>
      </c>
    </row>
    <row r="67" spans="1:27" ht="15" x14ac:dyDescent="0.25">
      <c r="A67" s="88" t="s">
        <v>384</v>
      </c>
      <c r="B67" s="88" t="s">
        <v>371</v>
      </c>
      <c r="C67" s="88" t="s">
        <v>170</v>
      </c>
      <c r="D67" s="90" t="s">
        <v>192</v>
      </c>
      <c r="E67" s="90" t="s">
        <v>102</v>
      </c>
      <c r="F67" s="90" t="s">
        <v>340</v>
      </c>
      <c r="G67" s="90" t="s">
        <v>102</v>
      </c>
      <c r="H67" s="90" t="s">
        <v>387</v>
      </c>
      <c r="I67" s="90" t="s">
        <v>102</v>
      </c>
      <c r="J67" s="90" t="s">
        <v>115</v>
      </c>
      <c r="K67" s="90" t="s">
        <v>188</v>
      </c>
      <c r="L67" s="90" t="s">
        <v>195</v>
      </c>
      <c r="M67" s="90" t="s">
        <v>102</v>
      </c>
      <c r="N67" s="90" t="s">
        <v>102</v>
      </c>
      <c r="O67" s="90" t="s">
        <v>102</v>
      </c>
      <c r="P67" s="90" t="s">
        <v>388</v>
      </c>
      <c r="Q67" s="90" t="s">
        <v>127</v>
      </c>
      <c r="R67" s="90" t="s">
        <v>102</v>
      </c>
      <c r="S67" s="90" t="s">
        <v>102</v>
      </c>
      <c r="T67" s="90" t="s">
        <v>102</v>
      </c>
      <c r="U67" s="90" t="s">
        <v>388</v>
      </c>
      <c r="V67" s="90" t="s">
        <v>389</v>
      </c>
      <c r="W67" s="90" t="s">
        <v>102</v>
      </c>
      <c r="X67" s="90" t="s">
        <v>102</v>
      </c>
      <c r="Y67" s="90" t="s">
        <v>102</v>
      </c>
      <c r="Z67" s="90" t="s">
        <v>102</v>
      </c>
      <c r="AA67" s="90" t="s">
        <v>102</v>
      </c>
    </row>
    <row r="68" spans="1:27" ht="15" x14ac:dyDescent="0.25">
      <c r="A68" s="88" t="s">
        <v>384</v>
      </c>
      <c r="B68" s="88" t="s">
        <v>169</v>
      </c>
      <c r="C68" s="88" t="s">
        <v>170</v>
      </c>
      <c r="D68" s="90" t="s">
        <v>191</v>
      </c>
      <c r="E68" s="90" t="s">
        <v>102</v>
      </c>
      <c r="F68" s="90" t="s">
        <v>207</v>
      </c>
      <c r="G68" s="90" t="s">
        <v>102</v>
      </c>
      <c r="H68" s="90" t="s">
        <v>367</v>
      </c>
      <c r="I68" s="90" t="s">
        <v>102</v>
      </c>
      <c r="J68" s="90" t="s">
        <v>391</v>
      </c>
      <c r="K68" s="90" t="s">
        <v>112</v>
      </c>
      <c r="L68" s="90" t="s">
        <v>114</v>
      </c>
      <c r="M68" s="90" t="s">
        <v>102</v>
      </c>
      <c r="N68" s="90" t="s">
        <v>102</v>
      </c>
      <c r="O68" s="90" t="s">
        <v>102</v>
      </c>
      <c r="P68" s="90" t="s">
        <v>106</v>
      </c>
      <c r="Q68" s="90" t="s">
        <v>102</v>
      </c>
      <c r="R68" s="90" t="s">
        <v>102</v>
      </c>
      <c r="S68" s="90" t="s">
        <v>102</v>
      </c>
      <c r="T68" s="90" t="s">
        <v>102</v>
      </c>
      <c r="U68" s="90" t="s">
        <v>195</v>
      </c>
      <c r="V68" s="90" t="s">
        <v>102</v>
      </c>
      <c r="W68" s="90" t="s">
        <v>102</v>
      </c>
      <c r="X68" s="90" t="s">
        <v>102</v>
      </c>
      <c r="Y68" s="90" t="s">
        <v>102</v>
      </c>
      <c r="Z68" s="90" t="s">
        <v>102</v>
      </c>
      <c r="AA68" s="90" t="s">
        <v>102</v>
      </c>
    </row>
    <row r="69" spans="1:27" ht="15" x14ac:dyDescent="0.25">
      <c r="A69" s="88" t="s">
        <v>384</v>
      </c>
      <c r="B69" s="88" t="s">
        <v>176</v>
      </c>
      <c r="C69" s="88" t="s">
        <v>170</v>
      </c>
      <c r="D69" s="90" t="s">
        <v>340</v>
      </c>
      <c r="E69" s="90" t="s">
        <v>102</v>
      </c>
      <c r="F69" s="90" t="s">
        <v>340</v>
      </c>
      <c r="G69" s="90" t="s">
        <v>102</v>
      </c>
      <c r="H69" s="90" t="s">
        <v>387</v>
      </c>
      <c r="I69" s="90" t="s">
        <v>102</v>
      </c>
      <c r="J69" s="90" t="s">
        <v>102</v>
      </c>
      <c r="K69" s="90" t="s">
        <v>392</v>
      </c>
      <c r="L69" s="90" t="s">
        <v>393</v>
      </c>
      <c r="M69" s="90" t="s">
        <v>102</v>
      </c>
      <c r="N69" s="90" t="s">
        <v>102</v>
      </c>
      <c r="O69" s="90" t="s">
        <v>102</v>
      </c>
      <c r="P69" s="90" t="s">
        <v>102</v>
      </c>
      <c r="Q69" s="90" t="s">
        <v>127</v>
      </c>
      <c r="R69" s="90" t="s">
        <v>102</v>
      </c>
      <c r="S69" s="90" t="s">
        <v>102</v>
      </c>
      <c r="T69" s="90" t="s">
        <v>102</v>
      </c>
      <c r="U69" s="90" t="s">
        <v>394</v>
      </c>
      <c r="V69" s="90" t="s">
        <v>102</v>
      </c>
      <c r="W69" s="90" t="s">
        <v>102</v>
      </c>
      <c r="X69" s="90" t="s">
        <v>102</v>
      </c>
      <c r="Y69" s="90" t="s">
        <v>102</v>
      </c>
      <c r="Z69" s="90" t="s">
        <v>102</v>
      </c>
      <c r="AA69" s="90" t="s">
        <v>102</v>
      </c>
    </row>
    <row r="70" spans="1:27" ht="15" x14ac:dyDescent="0.25">
      <c r="A70" s="88" t="s">
        <v>384</v>
      </c>
      <c r="B70" s="88" t="s">
        <v>316</v>
      </c>
      <c r="C70" s="88" t="s">
        <v>170</v>
      </c>
      <c r="D70" s="90" t="s">
        <v>192</v>
      </c>
      <c r="E70" s="90" t="s">
        <v>102</v>
      </c>
      <c r="F70" s="90" t="s">
        <v>340</v>
      </c>
      <c r="G70" s="90" t="s">
        <v>102</v>
      </c>
      <c r="H70" s="90" t="s">
        <v>387</v>
      </c>
      <c r="I70" s="90" t="s">
        <v>115</v>
      </c>
      <c r="J70" s="90" t="s">
        <v>115</v>
      </c>
      <c r="K70" s="90" t="s">
        <v>395</v>
      </c>
      <c r="L70" s="90" t="s">
        <v>195</v>
      </c>
      <c r="M70" s="90" t="s">
        <v>102</v>
      </c>
      <c r="N70" s="90" t="s">
        <v>102</v>
      </c>
      <c r="O70" s="90" t="s">
        <v>102</v>
      </c>
      <c r="P70" s="90" t="s">
        <v>388</v>
      </c>
      <c r="Q70" s="90" t="s">
        <v>127</v>
      </c>
      <c r="R70" s="90" t="s">
        <v>102</v>
      </c>
      <c r="S70" s="90" t="s">
        <v>102</v>
      </c>
      <c r="T70" s="90" t="s">
        <v>102</v>
      </c>
      <c r="U70" s="90" t="s">
        <v>388</v>
      </c>
      <c r="V70" s="90" t="s">
        <v>389</v>
      </c>
      <c r="W70" s="90" t="s">
        <v>102</v>
      </c>
      <c r="X70" s="90" t="s">
        <v>102</v>
      </c>
      <c r="Y70" s="90" t="s">
        <v>102</v>
      </c>
      <c r="Z70" s="90" t="s">
        <v>102</v>
      </c>
      <c r="AA70" s="90" t="s">
        <v>102</v>
      </c>
    </row>
    <row r="71" spans="1:27" ht="15" x14ac:dyDescent="0.25">
      <c r="A71" s="88" t="s">
        <v>384</v>
      </c>
      <c r="B71" s="88" t="s">
        <v>154</v>
      </c>
      <c r="C71" s="88" t="s">
        <v>170</v>
      </c>
      <c r="D71" s="90" t="s">
        <v>102</v>
      </c>
      <c r="E71" s="90" t="s">
        <v>340</v>
      </c>
      <c r="F71" s="90" t="s">
        <v>102</v>
      </c>
      <c r="G71" s="90" t="s">
        <v>368</v>
      </c>
      <c r="H71" s="90" t="s">
        <v>387</v>
      </c>
      <c r="I71" s="90" t="s">
        <v>281</v>
      </c>
      <c r="J71" s="90" t="s">
        <v>115</v>
      </c>
      <c r="K71" s="90" t="s">
        <v>188</v>
      </c>
      <c r="L71" s="90" t="s">
        <v>195</v>
      </c>
      <c r="M71" s="90" t="s">
        <v>102</v>
      </c>
      <c r="N71" s="90" t="s">
        <v>102</v>
      </c>
      <c r="O71" s="90" t="s">
        <v>102</v>
      </c>
      <c r="P71" s="90" t="s">
        <v>195</v>
      </c>
      <c r="Q71" s="90" t="s">
        <v>102</v>
      </c>
      <c r="R71" s="90" t="s">
        <v>102</v>
      </c>
      <c r="S71" s="90" t="s">
        <v>102</v>
      </c>
      <c r="T71" s="90" t="s">
        <v>102</v>
      </c>
      <c r="U71" s="90" t="s">
        <v>102</v>
      </c>
      <c r="V71" s="90" t="s">
        <v>396</v>
      </c>
      <c r="W71" s="90" t="s">
        <v>102</v>
      </c>
      <c r="X71" s="90" t="s">
        <v>102</v>
      </c>
      <c r="Y71" s="90" t="s">
        <v>102</v>
      </c>
      <c r="Z71" s="90" t="s">
        <v>102</v>
      </c>
      <c r="AA71" s="90" t="s">
        <v>102</v>
      </c>
    </row>
    <row r="72" spans="1:27" ht="15" x14ac:dyDescent="0.25">
      <c r="A72" s="88" t="s">
        <v>384</v>
      </c>
      <c r="B72" s="88" t="s">
        <v>397</v>
      </c>
      <c r="C72" s="88" t="s">
        <v>170</v>
      </c>
      <c r="D72" s="90" t="s">
        <v>340</v>
      </c>
      <c r="E72" s="90" t="s">
        <v>102</v>
      </c>
      <c r="F72" s="90" t="s">
        <v>340</v>
      </c>
      <c r="G72" s="90" t="s">
        <v>102</v>
      </c>
      <c r="H72" s="90" t="s">
        <v>387</v>
      </c>
      <c r="I72" s="90" t="s">
        <v>102</v>
      </c>
      <c r="J72" s="90" t="s">
        <v>115</v>
      </c>
      <c r="K72" s="90" t="s">
        <v>188</v>
      </c>
      <c r="L72" s="90" t="s">
        <v>188</v>
      </c>
      <c r="M72" s="90" t="s">
        <v>102</v>
      </c>
      <c r="N72" s="90" t="s">
        <v>102</v>
      </c>
      <c r="O72" s="90" t="s">
        <v>102</v>
      </c>
      <c r="P72" s="90" t="s">
        <v>102</v>
      </c>
      <c r="Q72" s="90" t="s">
        <v>127</v>
      </c>
      <c r="R72" s="90" t="s">
        <v>102</v>
      </c>
      <c r="S72" s="90" t="s">
        <v>102</v>
      </c>
      <c r="T72" s="90" t="s">
        <v>102</v>
      </c>
      <c r="U72" s="90" t="s">
        <v>127</v>
      </c>
      <c r="V72" s="90" t="s">
        <v>102</v>
      </c>
      <c r="W72" s="90" t="s">
        <v>102</v>
      </c>
      <c r="X72" s="90" t="s">
        <v>102</v>
      </c>
      <c r="Y72" s="90" t="s">
        <v>102</v>
      </c>
      <c r="Z72" s="90" t="s">
        <v>102</v>
      </c>
      <c r="AA72" s="90" t="s">
        <v>102</v>
      </c>
    </row>
    <row r="73" spans="1:27" ht="15" x14ac:dyDescent="0.25">
      <c r="A73" s="88" t="s">
        <v>398</v>
      </c>
      <c r="B73" s="88" t="s">
        <v>169</v>
      </c>
      <c r="C73" s="88" t="s">
        <v>170</v>
      </c>
      <c r="D73" s="90" t="s">
        <v>191</v>
      </c>
      <c r="E73" s="90" t="s">
        <v>102</v>
      </c>
      <c r="F73" s="90" t="s">
        <v>193</v>
      </c>
      <c r="G73" s="90" t="s">
        <v>102</v>
      </c>
      <c r="H73" s="90" t="s">
        <v>146</v>
      </c>
      <c r="I73" s="90" t="s">
        <v>102</v>
      </c>
      <c r="J73" s="90" t="s">
        <v>186</v>
      </c>
      <c r="K73" s="90" t="s">
        <v>380</v>
      </c>
      <c r="L73" s="90" t="s">
        <v>102</v>
      </c>
      <c r="M73" s="90" t="s">
        <v>102</v>
      </c>
      <c r="N73" s="90" t="s">
        <v>102</v>
      </c>
      <c r="O73" s="90" t="s">
        <v>102</v>
      </c>
      <c r="P73" s="90" t="s">
        <v>188</v>
      </c>
      <c r="Q73" s="90" t="s">
        <v>102</v>
      </c>
      <c r="R73" s="90" t="s">
        <v>102</v>
      </c>
      <c r="S73" s="90" t="s">
        <v>102</v>
      </c>
      <c r="T73" s="90" t="s">
        <v>102</v>
      </c>
      <c r="U73" s="90" t="s">
        <v>186</v>
      </c>
      <c r="V73" s="90" t="s">
        <v>102</v>
      </c>
      <c r="W73" s="90" t="s">
        <v>102</v>
      </c>
      <c r="X73" s="90" t="s">
        <v>102</v>
      </c>
      <c r="Y73" s="90" t="s">
        <v>102</v>
      </c>
      <c r="Z73" s="90" t="s">
        <v>102</v>
      </c>
      <c r="AA73" s="90" t="s">
        <v>102</v>
      </c>
    </row>
    <row r="74" spans="1:27" ht="15" x14ac:dyDescent="0.25">
      <c r="A74" s="88" t="s">
        <v>398</v>
      </c>
      <c r="B74" s="88" t="s">
        <v>154</v>
      </c>
      <c r="C74" s="88" t="s">
        <v>170</v>
      </c>
      <c r="D74" s="90" t="s">
        <v>102</v>
      </c>
      <c r="E74" s="90" t="s">
        <v>340</v>
      </c>
      <c r="F74" s="90" t="s">
        <v>102</v>
      </c>
      <c r="G74" s="90" t="s">
        <v>131</v>
      </c>
      <c r="H74" s="90" t="s">
        <v>132</v>
      </c>
      <c r="I74" s="90" t="s">
        <v>115</v>
      </c>
      <c r="J74" s="90" t="s">
        <v>102</v>
      </c>
      <c r="K74" s="90" t="s">
        <v>104</v>
      </c>
      <c r="L74" s="90" t="s">
        <v>342</v>
      </c>
      <c r="M74" s="90" t="s">
        <v>102</v>
      </c>
      <c r="N74" s="90" t="s">
        <v>102</v>
      </c>
      <c r="O74" s="90" t="s">
        <v>102</v>
      </c>
      <c r="P74" s="90" t="s">
        <v>102</v>
      </c>
      <c r="Q74" s="90" t="s">
        <v>143</v>
      </c>
      <c r="R74" s="90" t="s">
        <v>399</v>
      </c>
      <c r="S74" s="90" t="s">
        <v>102</v>
      </c>
      <c r="T74" s="90" t="s">
        <v>102</v>
      </c>
      <c r="U74" s="90" t="s">
        <v>106</v>
      </c>
      <c r="V74" s="90" t="s">
        <v>102</v>
      </c>
      <c r="W74" s="90" t="s">
        <v>102</v>
      </c>
      <c r="X74" s="90" t="s">
        <v>102</v>
      </c>
      <c r="Y74" s="90" t="s">
        <v>102</v>
      </c>
      <c r="Z74" s="90" t="s">
        <v>102</v>
      </c>
      <c r="AA74" s="90" t="s">
        <v>102</v>
      </c>
    </row>
    <row r="75" spans="1:27" ht="15" x14ac:dyDescent="0.25">
      <c r="A75" s="88" t="s">
        <v>400</v>
      </c>
      <c r="B75" s="88" t="s">
        <v>162</v>
      </c>
      <c r="C75" s="88" t="s">
        <v>101</v>
      </c>
      <c r="D75" s="90" t="s">
        <v>401</v>
      </c>
      <c r="E75" s="90" t="s">
        <v>102</v>
      </c>
      <c r="F75" s="90" t="s">
        <v>401</v>
      </c>
      <c r="G75" s="90" t="s">
        <v>102</v>
      </c>
      <c r="H75" s="90" t="s">
        <v>367</v>
      </c>
      <c r="I75" s="90" t="s">
        <v>102</v>
      </c>
      <c r="J75" s="90" t="s">
        <v>228</v>
      </c>
      <c r="K75" s="90" t="s">
        <v>228</v>
      </c>
      <c r="L75" s="90" t="s">
        <v>229</v>
      </c>
      <c r="M75" s="90" t="s">
        <v>102</v>
      </c>
      <c r="N75" s="90" t="s">
        <v>102</v>
      </c>
      <c r="O75" s="90" t="s">
        <v>102</v>
      </c>
      <c r="P75" s="90" t="s">
        <v>102</v>
      </c>
      <c r="Q75" s="90" t="s">
        <v>102</v>
      </c>
      <c r="R75" s="90" t="s">
        <v>102</v>
      </c>
      <c r="S75" s="90" t="s">
        <v>102</v>
      </c>
      <c r="T75" s="90" t="s">
        <v>102</v>
      </c>
      <c r="U75" s="90" t="s">
        <v>102</v>
      </c>
      <c r="V75" s="90" t="s">
        <v>102</v>
      </c>
      <c r="W75" s="90" t="s">
        <v>102</v>
      </c>
      <c r="X75" s="90" t="s">
        <v>102</v>
      </c>
      <c r="Y75" s="90" t="s">
        <v>102</v>
      </c>
      <c r="Z75" s="90" t="s">
        <v>102</v>
      </c>
      <c r="AA75" s="90" t="s">
        <v>102</v>
      </c>
    </row>
    <row r="76" spans="1:27" ht="15" x14ac:dyDescent="0.25">
      <c r="A76" s="88" t="s">
        <v>400</v>
      </c>
      <c r="B76" s="88" t="s">
        <v>123</v>
      </c>
      <c r="C76" s="88" t="s">
        <v>101</v>
      </c>
      <c r="D76" s="90" t="s">
        <v>102</v>
      </c>
      <c r="E76" s="90" t="s">
        <v>102</v>
      </c>
      <c r="F76" s="90" t="s">
        <v>102</v>
      </c>
      <c r="G76" s="90" t="s">
        <v>102</v>
      </c>
      <c r="H76" s="90" t="s">
        <v>231</v>
      </c>
      <c r="I76" s="90" t="s">
        <v>102</v>
      </c>
      <c r="J76" s="90" t="s">
        <v>231</v>
      </c>
      <c r="K76" s="90" t="s">
        <v>231</v>
      </c>
      <c r="L76" s="90" t="s">
        <v>391</v>
      </c>
      <c r="M76" s="90" t="s">
        <v>102</v>
      </c>
      <c r="N76" s="90" t="s">
        <v>102</v>
      </c>
      <c r="O76" s="90" t="s">
        <v>102</v>
      </c>
      <c r="P76" s="90" t="s">
        <v>114</v>
      </c>
      <c r="Q76" s="90" t="s">
        <v>102</v>
      </c>
      <c r="R76" s="90" t="s">
        <v>102</v>
      </c>
      <c r="S76" s="90" t="s">
        <v>102</v>
      </c>
      <c r="T76" s="90" t="s">
        <v>102</v>
      </c>
      <c r="U76" s="90" t="s">
        <v>150</v>
      </c>
      <c r="V76" s="90" t="s">
        <v>102</v>
      </c>
      <c r="W76" s="90" t="s">
        <v>102</v>
      </c>
      <c r="X76" s="90" t="s">
        <v>102</v>
      </c>
      <c r="Y76" s="90" t="s">
        <v>102</v>
      </c>
      <c r="Z76" s="90" t="s">
        <v>102</v>
      </c>
      <c r="AA76" s="90" t="s">
        <v>102</v>
      </c>
    </row>
    <row r="77" spans="1:27" ht="15" x14ac:dyDescent="0.25">
      <c r="A77" s="88" t="s">
        <v>400</v>
      </c>
      <c r="B77" s="88" t="s">
        <v>176</v>
      </c>
      <c r="C77" s="88" t="s">
        <v>101</v>
      </c>
      <c r="D77" s="90" t="s">
        <v>367</v>
      </c>
      <c r="E77" s="90" t="s">
        <v>102</v>
      </c>
      <c r="F77" s="90" t="s">
        <v>367</v>
      </c>
      <c r="G77" s="90" t="s">
        <v>102</v>
      </c>
      <c r="H77" s="90" t="s">
        <v>372</v>
      </c>
      <c r="I77" s="90" t="s">
        <v>102</v>
      </c>
      <c r="J77" s="90" t="s">
        <v>187</v>
      </c>
      <c r="K77" s="90" t="s">
        <v>132</v>
      </c>
      <c r="L77" s="90" t="s">
        <v>134</v>
      </c>
      <c r="M77" s="90" t="s">
        <v>102</v>
      </c>
      <c r="N77" s="90" t="s">
        <v>102</v>
      </c>
      <c r="O77" s="90" t="s">
        <v>102</v>
      </c>
      <c r="P77" s="90" t="s">
        <v>156</v>
      </c>
      <c r="Q77" s="90" t="s">
        <v>402</v>
      </c>
      <c r="R77" s="90" t="s">
        <v>143</v>
      </c>
      <c r="S77" s="90" t="s">
        <v>102</v>
      </c>
      <c r="T77" s="90" t="s">
        <v>102</v>
      </c>
      <c r="U77" s="90" t="s">
        <v>403</v>
      </c>
      <c r="V77" s="90" t="s">
        <v>102</v>
      </c>
      <c r="W77" s="90" t="s">
        <v>102</v>
      </c>
      <c r="X77" s="90" t="s">
        <v>404</v>
      </c>
      <c r="Y77" s="90" t="s">
        <v>102</v>
      </c>
      <c r="Z77" s="90" t="s">
        <v>102</v>
      </c>
      <c r="AA77" s="90" t="s">
        <v>102</v>
      </c>
    </row>
    <row r="78" spans="1:27" ht="15" x14ac:dyDescent="0.25">
      <c r="A78" s="88" t="s">
        <v>400</v>
      </c>
      <c r="B78" s="88" t="s">
        <v>405</v>
      </c>
      <c r="C78" s="88" t="s">
        <v>101</v>
      </c>
      <c r="D78" s="90" t="s">
        <v>207</v>
      </c>
      <c r="E78" s="90" t="s">
        <v>207</v>
      </c>
      <c r="F78" s="90" t="s">
        <v>207</v>
      </c>
      <c r="G78" s="90" t="s">
        <v>207</v>
      </c>
      <c r="H78" s="90" t="s">
        <v>207</v>
      </c>
      <c r="I78" s="90" t="s">
        <v>240</v>
      </c>
      <c r="J78" s="90" t="s">
        <v>240</v>
      </c>
      <c r="K78" s="90" t="s">
        <v>240</v>
      </c>
      <c r="L78" s="90" t="s">
        <v>187</v>
      </c>
      <c r="M78" s="90" t="s">
        <v>102</v>
      </c>
      <c r="N78" s="90" t="s">
        <v>102</v>
      </c>
      <c r="O78" s="90" t="s">
        <v>102</v>
      </c>
      <c r="P78" s="90" t="s">
        <v>187</v>
      </c>
      <c r="Q78" s="90" t="s">
        <v>102</v>
      </c>
      <c r="R78" s="90" t="s">
        <v>102</v>
      </c>
      <c r="S78" s="90" t="s">
        <v>102</v>
      </c>
      <c r="T78" s="90" t="s">
        <v>102</v>
      </c>
      <c r="U78" s="90" t="s">
        <v>138</v>
      </c>
      <c r="V78" s="90" t="s">
        <v>102</v>
      </c>
      <c r="W78" s="90" t="s">
        <v>102</v>
      </c>
      <c r="X78" s="90" t="s">
        <v>102</v>
      </c>
      <c r="Y78" s="90" t="s">
        <v>102</v>
      </c>
      <c r="Z78" s="90" t="s">
        <v>102</v>
      </c>
      <c r="AA78" s="90" t="s">
        <v>102</v>
      </c>
    </row>
    <row r="79" spans="1:27" ht="15" x14ac:dyDescent="0.25">
      <c r="A79" s="88" t="s">
        <v>400</v>
      </c>
      <c r="B79" s="88" t="s">
        <v>154</v>
      </c>
      <c r="C79" s="88" t="s">
        <v>101</v>
      </c>
      <c r="D79" s="90" t="s">
        <v>102</v>
      </c>
      <c r="E79" s="90" t="s">
        <v>102</v>
      </c>
      <c r="F79" s="90" t="s">
        <v>102</v>
      </c>
      <c r="G79" s="90" t="s">
        <v>102</v>
      </c>
      <c r="H79" s="90" t="s">
        <v>102</v>
      </c>
      <c r="I79" s="90" t="s">
        <v>102</v>
      </c>
      <c r="J79" s="90" t="s">
        <v>102</v>
      </c>
      <c r="K79" s="90" t="s">
        <v>102</v>
      </c>
      <c r="L79" s="90" t="s">
        <v>104</v>
      </c>
      <c r="M79" s="90" t="s">
        <v>102</v>
      </c>
      <c r="N79" s="90" t="s">
        <v>102</v>
      </c>
      <c r="O79" s="90" t="s">
        <v>102</v>
      </c>
      <c r="P79" s="90" t="s">
        <v>155</v>
      </c>
      <c r="Q79" s="90" t="s">
        <v>140</v>
      </c>
      <c r="R79" s="90" t="s">
        <v>126</v>
      </c>
      <c r="S79" s="90" t="s">
        <v>102</v>
      </c>
      <c r="T79" s="90" t="s">
        <v>102</v>
      </c>
      <c r="U79" s="90" t="s">
        <v>126</v>
      </c>
      <c r="V79" s="90" t="s">
        <v>102</v>
      </c>
      <c r="W79" s="90" t="s">
        <v>102</v>
      </c>
      <c r="X79" s="90" t="s">
        <v>102</v>
      </c>
      <c r="Y79" s="90" t="s">
        <v>102</v>
      </c>
      <c r="Z79" s="90" t="s">
        <v>102</v>
      </c>
      <c r="AA79" s="90" t="s">
        <v>102</v>
      </c>
    </row>
    <row r="80" spans="1:27" ht="15" x14ac:dyDescent="0.25">
      <c r="A80" s="88" t="s">
        <v>406</v>
      </c>
      <c r="B80" s="88" t="s">
        <v>407</v>
      </c>
      <c r="C80" s="88" t="s">
        <v>101</v>
      </c>
      <c r="D80" s="90" t="s">
        <v>112</v>
      </c>
      <c r="E80" s="90" t="s">
        <v>102</v>
      </c>
      <c r="F80" s="90" t="s">
        <v>112</v>
      </c>
      <c r="G80" s="90" t="s">
        <v>102</v>
      </c>
      <c r="H80" s="90" t="s">
        <v>115</v>
      </c>
      <c r="I80" s="90" t="s">
        <v>102</v>
      </c>
      <c r="J80" s="90" t="s">
        <v>377</v>
      </c>
      <c r="K80" s="90" t="s">
        <v>377</v>
      </c>
      <c r="L80" s="90" t="s">
        <v>150</v>
      </c>
      <c r="M80" s="90" t="s">
        <v>102</v>
      </c>
      <c r="N80" s="90" t="s">
        <v>102</v>
      </c>
      <c r="O80" s="90" t="s">
        <v>125</v>
      </c>
      <c r="P80" s="90" t="s">
        <v>388</v>
      </c>
      <c r="Q80" s="90" t="s">
        <v>156</v>
      </c>
      <c r="R80" s="90" t="s">
        <v>141</v>
      </c>
      <c r="S80" s="90" t="s">
        <v>213</v>
      </c>
      <c r="T80" s="90" t="s">
        <v>102</v>
      </c>
      <c r="U80" s="90" t="s">
        <v>364</v>
      </c>
      <c r="V80" s="90" t="s">
        <v>102</v>
      </c>
      <c r="W80" s="90" t="s">
        <v>164</v>
      </c>
      <c r="X80" s="90" t="s">
        <v>135</v>
      </c>
      <c r="Y80" s="90" t="s">
        <v>102</v>
      </c>
      <c r="Z80" s="90" t="s">
        <v>102</v>
      </c>
      <c r="AA80" s="90" t="s">
        <v>102</v>
      </c>
    </row>
    <row r="81" spans="1:27" ht="15" x14ac:dyDescent="0.25">
      <c r="A81" s="88" t="s">
        <v>406</v>
      </c>
      <c r="B81" s="88" t="s">
        <v>100</v>
      </c>
      <c r="C81" s="88" t="s">
        <v>101</v>
      </c>
      <c r="D81" s="90" t="s">
        <v>102</v>
      </c>
      <c r="E81" s="90" t="s">
        <v>102</v>
      </c>
      <c r="F81" s="90" t="s">
        <v>171</v>
      </c>
      <c r="G81" s="90" t="s">
        <v>102</v>
      </c>
      <c r="H81" s="90" t="s">
        <v>195</v>
      </c>
      <c r="I81" s="90" t="s">
        <v>102</v>
      </c>
      <c r="J81" s="90" t="s">
        <v>275</v>
      </c>
      <c r="K81" s="90" t="s">
        <v>102</v>
      </c>
      <c r="L81" s="90" t="s">
        <v>247</v>
      </c>
      <c r="M81" s="90" t="s">
        <v>102</v>
      </c>
      <c r="N81" s="90" t="s">
        <v>102</v>
      </c>
      <c r="O81" s="90" t="s">
        <v>102</v>
      </c>
      <c r="P81" s="90" t="s">
        <v>135</v>
      </c>
      <c r="Q81" s="90" t="s">
        <v>408</v>
      </c>
      <c r="R81" s="90" t="s">
        <v>409</v>
      </c>
      <c r="S81" s="90" t="s">
        <v>102</v>
      </c>
      <c r="T81" s="90" t="s">
        <v>102</v>
      </c>
      <c r="U81" s="90" t="s">
        <v>364</v>
      </c>
      <c r="V81" s="90" t="s">
        <v>102</v>
      </c>
      <c r="W81" s="90" t="s">
        <v>102</v>
      </c>
      <c r="X81" s="90" t="s">
        <v>102</v>
      </c>
      <c r="Y81" s="90" t="s">
        <v>102</v>
      </c>
      <c r="Z81" s="90" t="s">
        <v>102</v>
      </c>
      <c r="AA81" s="90" t="s">
        <v>102</v>
      </c>
    </row>
    <row r="82" spans="1:27" ht="15" x14ac:dyDescent="0.25">
      <c r="A82" s="88" t="s">
        <v>410</v>
      </c>
      <c r="B82" s="88" t="s">
        <v>411</v>
      </c>
      <c r="C82" s="88" t="s">
        <v>101</v>
      </c>
      <c r="D82" s="90" t="s">
        <v>102</v>
      </c>
      <c r="E82" s="90" t="s">
        <v>102</v>
      </c>
      <c r="F82" s="90" t="s">
        <v>147</v>
      </c>
      <c r="G82" s="90" t="s">
        <v>102</v>
      </c>
      <c r="H82" s="90" t="s">
        <v>150</v>
      </c>
      <c r="I82" s="90" t="s">
        <v>102</v>
      </c>
      <c r="J82" s="90" t="s">
        <v>151</v>
      </c>
      <c r="K82" s="90" t="s">
        <v>102</v>
      </c>
      <c r="L82" s="90" t="s">
        <v>152</v>
      </c>
      <c r="M82" s="90" t="s">
        <v>102</v>
      </c>
      <c r="N82" s="90" t="s">
        <v>102</v>
      </c>
      <c r="O82" s="90" t="s">
        <v>102</v>
      </c>
      <c r="P82" s="90" t="s">
        <v>141</v>
      </c>
      <c r="Q82" s="90" t="s">
        <v>141</v>
      </c>
      <c r="R82" s="90" t="s">
        <v>141</v>
      </c>
      <c r="S82" s="90" t="s">
        <v>102</v>
      </c>
      <c r="T82" s="90" t="s">
        <v>102</v>
      </c>
      <c r="U82" s="90" t="s">
        <v>153</v>
      </c>
      <c r="V82" s="90" t="s">
        <v>102</v>
      </c>
      <c r="W82" s="90" t="s">
        <v>153</v>
      </c>
      <c r="X82" s="90" t="s">
        <v>102</v>
      </c>
      <c r="Y82" s="90" t="s">
        <v>102</v>
      </c>
      <c r="Z82" s="90" t="s">
        <v>102</v>
      </c>
      <c r="AA82" s="90" t="s">
        <v>102</v>
      </c>
    </row>
    <row r="83" spans="1:27" ht="15" x14ac:dyDescent="0.25">
      <c r="A83" s="88" t="s">
        <v>410</v>
      </c>
      <c r="B83" s="88" t="s">
        <v>100</v>
      </c>
      <c r="C83" s="88" t="s">
        <v>101</v>
      </c>
      <c r="D83" s="90" t="s">
        <v>102</v>
      </c>
      <c r="E83" s="90" t="s">
        <v>102</v>
      </c>
      <c r="F83" s="90" t="s">
        <v>171</v>
      </c>
      <c r="G83" s="90" t="s">
        <v>102</v>
      </c>
      <c r="H83" s="90" t="s">
        <v>195</v>
      </c>
      <c r="I83" s="90" t="s">
        <v>102</v>
      </c>
      <c r="J83" s="90" t="s">
        <v>275</v>
      </c>
      <c r="K83" s="90" t="s">
        <v>102</v>
      </c>
      <c r="L83" s="90" t="s">
        <v>125</v>
      </c>
      <c r="M83" s="90" t="s">
        <v>102</v>
      </c>
      <c r="N83" s="90" t="s">
        <v>102</v>
      </c>
      <c r="O83" s="90" t="s">
        <v>102</v>
      </c>
      <c r="P83" s="90" t="s">
        <v>135</v>
      </c>
      <c r="Q83" s="90" t="s">
        <v>408</v>
      </c>
      <c r="R83" s="90" t="s">
        <v>409</v>
      </c>
      <c r="S83" s="90" t="s">
        <v>102</v>
      </c>
      <c r="T83" s="90" t="s">
        <v>102</v>
      </c>
      <c r="U83" s="90" t="s">
        <v>364</v>
      </c>
      <c r="V83" s="90" t="s">
        <v>102</v>
      </c>
      <c r="W83" s="90" t="s">
        <v>102</v>
      </c>
      <c r="X83" s="90" t="s">
        <v>102</v>
      </c>
      <c r="Y83" s="90" t="s">
        <v>102</v>
      </c>
      <c r="Z83" s="90" t="s">
        <v>102</v>
      </c>
      <c r="AA83" s="90" t="s">
        <v>102</v>
      </c>
    </row>
    <row r="84" spans="1:27" ht="15" x14ac:dyDescent="0.25">
      <c r="A84" s="88" t="s">
        <v>410</v>
      </c>
      <c r="B84" s="88" t="s">
        <v>111</v>
      </c>
      <c r="C84" s="88" t="s">
        <v>101</v>
      </c>
      <c r="D84" s="90" t="s">
        <v>102</v>
      </c>
      <c r="E84" s="90" t="s">
        <v>102</v>
      </c>
      <c r="F84" s="90" t="s">
        <v>368</v>
      </c>
      <c r="G84" s="90" t="s">
        <v>102</v>
      </c>
      <c r="H84" s="90" t="s">
        <v>187</v>
      </c>
      <c r="I84" s="90" t="s">
        <v>102</v>
      </c>
      <c r="J84" s="90" t="s">
        <v>280</v>
      </c>
      <c r="K84" s="90" t="s">
        <v>102</v>
      </c>
      <c r="L84" s="90" t="s">
        <v>337</v>
      </c>
      <c r="M84" s="90" t="s">
        <v>102</v>
      </c>
      <c r="N84" s="90" t="s">
        <v>102</v>
      </c>
      <c r="O84" s="90" t="s">
        <v>102</v>
      </c>
      <c r="P84" s="90" t="s">
        <v>188</v>
      </c>
      <c r="Q84" s="90" t="s">
        <v>105</v>
      </c>
      <c r="R84" s="90" t="s">
        <v>108</v>
      </c>
      <c r="S84" s="90" t="s">
        <v>102</v>
      </c>
      <c r="T84" s="90" t="s">
        <v>102</v>
      </c>
      <c r="U84" s="90" t="s">
        <v>116</v>
      </c>
      <c r="V84" s="90" t="s">
        <v>102</v>
      </c>
      <c r="W84" s="90" t="s">
        <v>143</v>
      </c>
      <c r="X84" s="90" t="s">
        <v>102</v>
      </c>
      <c r="Y84" s="90" t="s">
        <v>156</v>
      </c>
      <c r="Z84" s="90" t="s">
        <v>158</v>
      </c>
      <c r="AA84" s="90" t="s">
        <v>102</v>
      </c>
    </row>
    <row r="85" spans="1:27" ht="15" x14ac:dyDescent="0.25">
      <c r="A85" s="88" t="s">
        <v>410</v>
      </c>
      <c r="B85" s="88" t="s">
        <v>118</v>
      </c>
      <c r="C85" s="88" t="s">
        <v>101</v>
      </c>
      <c r="D85" s="90" t="s">
        <v>102</v>
      </c>
      <c r="E85" s="90" t="s">
        <v>102</v>
      </c>
      <c r="F85" s="90" t="s">
        <v>372</v>
      </c>
      <c r="G85" s="90" t="s">
        <v>102</v>
      </c>
      <c r="H85" s="90" t="s">
        <v>368</v>
      </c>
      <c r="I85" s="90" t="s">
        <v>102</v>
      </c>
      <c r="J85" s="90" t="s">
        <v>187</v>
      </c>
      <c r="K85" s="90" t="s">
        <v>102</v>
      </c>
      <c r="L85" s="90" t="s">
        <v>280</v>
      </c>
      <c r="M85" s="90" t="s">
        <v>102</v>
      </c>
      <c r="N85" s="90" t="s">
        <v>102</v>
      </c>
      <c r="O85" s="90" t="s">
        <v>102</v>
      </c>
      <c r="P85" s="90" t="s">
        <v>188</v>
      </c>
      <c r="Q85" s="90" t="s">
        <v>105</v>
      </c>
      <c r="R85" s="90" t="s">
        <v>108</v>
      </c>
      <c r="S85" s="90" t="s">
        <v>102</v>
      </c>
      <c r="T85" s="90" t="s">
        <v>102</v>
      </c>
      <c r="U85" s="90" t="s">
        <v>116</v>
      </c>
      <c r="V85" s="90" t="s">
        <v>102</v>
      </c>
      <c r="W85" s="90" t="s">
        <v>143</v>
      </c>
      <c r="X85" s="90" t="s">
        <v>102</v>
      </c>
      <c r="Y85" s="90" t="s">
        <v>156</v>
      </c>
      <c r="Z85" s="90" t="s">
        <v>158</v>
      </c>
      <c r="AA85" s="90" t="s">
        <v>102</v>
      </c>
    </row>
    <row r="86" spans="1:27" ht="15" x14ac:dyDescent="0.25">
      <c r="A86" s="88" t="s">
        <v>410</v>
      </c>
      <c r="B86" s="88" t="s">
        <v>390</v>
      </c>
      <c r="C86" s="88" t="s">
        <v>101</v>
      </c>
      <c r="D86" s="90" t="s">
        <v>102</v>
      </c>
      <c r="E86" s="90" t="s">
        <v>102</v>
      </c>
      <c r="F86" s="90" t="s">
        <v>116</v>
      </c>
      <c r="G86" s="90" t="s">
        <v>102</v>
      </c>
      <c r="H86" s="90" t="s">
        <v>157</v>
      </c>
      <c r="I86" s="90" t="s">
        <v>102</v>
      </c>
      <c r="J86" s="90" t="s">
        <v>276</v>
      </c>
      <c r="K86" s="90" t="s">
        <v>102</v>
      </c>
      <c r="L86" s="90" t="s">
        <v>247</v>
      </c>
      <c r="M86" s="90" t="s">
        <v>102</v>
      </c>
      <c r="N86" s="90" t="s">
        <v>102</v>
      </c>
      <c r="O86" s="90" t="s">
        <v>102</v>
      </c>
      <c r="P86" s="90" t="s">
        <v>164</v>
      </c>
      <c r="Q86" s="90" t="s">
        <v>164</v>
      </c>
      <c r="R86" s="90" t="s">
        <v>164</v>
      </c>
      <c r="S86" s="90" t="s">
        <v>128</v>
      </c>
      <c r="T86" s="90" t="s">
        <v>102</v>
      </c>
      <c r="U86" s="90" t="s">
        <v>143</v>
      </c>
      <c r="V86" s="90" t="s">
        <v>102</v>
      </c>
      <c r="W86" s="90" t="s">
        <v>128</v>
      </c>
      <c r="X86" s="90" t="s">
        <v>164</v>
      </c>
      <c r="Y86" s="90" t="s">
        <v>164</v>
      </c>
      <c r="Z86" s="90" t="s">
        <v>102</v>
      </c>
      <c r="AA86" s="90" t="s">
        <v>102</v>
      </c>
    </row>
    <row r="87" spans="1:27" ht="15" x14ac:dyDescent="0.25">
      <c r="A87" s="88" t="s">
        <v>410</v>
      </c>
      <c r="B87" s="88" t="s">
        <v>371</v>
      </c>
      <c r="C87" s="88" t="s">
        <v>101</v>
      </c>
      <c r="D87" s="90" t="s">
        <v>102</v>
      </c>
      <c r="E87" s="90" t="s">
        <v>102</v>
      </c>
      <c r="F87" s="90" t="s">
        <v>171</v>
      </c>
      <c r="G87" s="90" t="s">
        <v>102</v>
      </c>
      <c r="H87" s="90" t="s">
        <v>195</v>
      </c>
      <c r="I87" s="90" t="s">
        <v>102</v>
      </c>
      <c r="J87" s="90" t="s">
        <v>275</v>
      </c>
      <c r="K87" s="90" t="s">
        <v>102</v>
      </c>
      <c r="L87" s="90" t="s">
        <v>247</v>
      </c>
      <c r="M87" s="90" t="s">
        <v>102</v>
      </c>
      <c r="N87" s="90" t="s">
        <v>102</v>
      </c>
      <c r="O87" s="90" t="s">
        <v>102</v>
      </c>
      <c r="P87" s="90" t="s">
        <v>135</v>
      </c>
      <c r="Q87" s="90" t="s">
        <v>408</v>
      </c>
      <c r="R87" s="90" t="s">
        <v>409</v>
      </c>
      <c r="S87" s="90" t="s">
        <v>102</v>
      </c>
      <c r="T87" s="90" t="s">
        <v>102</v>
      </c>
      <c r="U87" s="90" t="s">
        <v>364</v>
      </c>
      <c r="V87" s="90" t="s">
        <v>102</v>
      </c>
      <c r="W87" s="90" t="s">
        <v>102</v>
      </c>
      <c r="X87" s="90" t="s">
        <v>102</v>
      </c>
      <c r="Y87" s="90" t="s">
        <v>102</v>
      </c>
      <c r="Z87" s="90" t="s">
        <v>102</v>
      </c>
      <c r="AA87" s="90" t="s">
        <v>102</v>
      </c>
    </row>
    <row r="88" spans="1:27" ht="15" x14ac:dyDescent="0.25">
      <c r="A88" s="88" t="s">
        <v>410</v>
      </c>
      <c r="B88" s="88" t="s">
        <v>130</v>
      </c>
      <c r="C88" s="88" t="s">
        <v>101</v>
      </c>
      <c r="D88" s="90" t="s">
        <v>102</v>
      </c>
      <c r="E88" s="90" t="s">
        <v>102</v>
      </c>
      <c r="F88" s="90" t="s">
        <v>131</v>
      </c>
      <c r="G88" s="90" t="s">
        <v>102</v>
      </c>
      <c r="H88" s="90" t="s">
        <v>132</v>
      </c>
      <c r="I88" s="90" t="s">
        <v>102</v>
      </c>
      <c r="J88" s="90" t="s">
        <v>133</v>
      </c>
      <c r="K88" s="90" t="s">
        <v>102</v>
      </c>
      <c r="L88" s="90" t="s">
        <v>134</v>
      </c>
      <c r="M88" s="90" t="s">
        <v>102</v>
      </c>
      <c r="N88" s="90" t="s">
        <v>102</v>
      </c>
      <c r="O88" s="90" t="s">
        <v>102</v>
      </c>
      <c r="P88" s="90" t="s">
        <v>135</v>
      </c>
      <c r="Q88" s="90" t="s">
        <v>102</v>
      </c>
      <c r="R88" s="90" t="s">
        <v>102</v>
      </c>
      <c r="S88" s="90" t="s">
        <v>102</v>
      </c>
      <c r="T88" s="90" t="s">
        <v>102</v>
      </c>
      <c r="U88" s="90" t="s">
        <v>135</v>
      </c>
      <c r="V88" s="90" t="s">
        <v>102</v>
      </c>
      <c r="W88" s="90" t="s">
        <v>102</v>
      </c>
      <c r="X88" s="90" t="s">
        <v>102</v>
      </c>
      <c r="Y88" s="90" t="s">
        <v>102</v>
      </c>
      <c r="Z88" s="90" t="s">
        <v>102</v>
      </c>
      <c r="AA88" s="90" t="s">
        <v>102</v>
      </c>
    </row>
    <row r="89" spans="1:27" ht="15" x14ac:dyDescent="0.25">
      <c r="A89" s="88" t="s">
        <v>410</v>
      </c>
      <c r="B89" s="88" t="s">
        <v>136</v>
      </c>
      <c r="C89" s="88" t="s">
        <v>101</v>
      </c>
      <c r="D89" s="90" t="s">
        <v>102</v>
      </c>
      <c r="E89" s="90" t="s">
        <v>102</v>
      </c>
      <c r="F89" s="90" t="s">
        <v>116</v>
      </c>
      <c r="G89" s="90" t="s">
        <v>102</v>
      </c>
      <c r="H89" s="90" t="s">
        <v>157</v>
      </c>
      <c r="I89" s="90" t="s">
        <v>102</v>
      </c>
      <c r="J89" s="90" t="s">
        <v>276</v>
      </c>
      <c r="K89" s="90" t="s">
        <v>102</v>
      </c>
      <c r="L89" s="90" t="s">
        <v>247</v>
      </c>
      <c r="M89" s="90" t="s">
        <v>102</v>
      </c>
      <c r="N89" s="90" t="s">
        <v>102</v>
      </c>
      <c r="O89" s="90" t="s">
        <v>102</v>
      </c>
      <c r="P89" s="90" t="s">
        <v>164</v>
      </c>
      <c r="Q89" s="90" t="s">
        <v>164</v>
      </c>
      <c r="R89" s="90" t="s">
        <v>164</v>
      </c>
      <c r="S89" s="90" t="s">
        <v>128</v>
      </c>
      <c r="T89" s="90" t="s">
        <v>102</v>
      </c>
      <c r="U89" s="90" t="s">
        <v>143</v>
      </c>
      <c r="V89" s="90" t="s">
        <v>102</v>
      </c>
      <c r="W89" s="90" t="s">
        <v>128</v>
      </c>
      <c r="X89" s="90" t="s">
        <v>164</v>
      </c>
      <c r="Y89" s="90" t="s">
        <v>164</v>
      </c>
      <c r="Z89" s="90" t="s">
        <v>102</v>
      </c>
      <c r="AA89" s="90" t="s">
        <v>102</v>
      </c>
    </row>
    <row r="90" spans="1:27" ht="15" x14ac:dyDescent="0.25">
      <c r="A90" s="88" t="s">
        <v>410</v>
      </c>
      <c r="B90" s="88" t="s">
        <v>137</v>
      </c>
      <c r="C90" s="88" t="s">
        <v>101</v>
      </c>
      <c r="D90" s="90" t="s">
        <v>102</v>
      </c>
      <c r="E90" s="90" t="s">
        <v>102</v>
      </c>
      <c r="F90" s="90" t="s">
        <v>138</v>
      </c>
      <c r="G90" s="90" t="s">
        <v>102</v>
      </c>
      <c r="H90" s="90" t="s">
        <v>139</v>
      </c>
      <c r="I90" s="90" t="s">
        <v>102</v>
      </c>
      <c r="J90" s="90" t="s">
        <v>140</v>
      </c>
      <c r="K90" s="90" t="s">
        <v>102</v>
      </c>
      <c r="L90" s="90" t="s">
        <v>120</v>
      </c>
      <c r="M90" s="90" t="s">
        <v>102</v>
      </c>
      <c r="N90" s="90" t="s">
        <v>102</v>
      </c>
      <c r="O90" s="90" t="s">
        <v>102</v>
      </c>
      <c r="P90" s="90" t="s">
        <v>141</v>
      </c>
      <c r="Q90" s="90" t="s">
        <v>135</v>
      </c>
      <c r="R90" s="90" t="s">
        <v>142</v>
      </c>
      <c r="S90" s="90" t="s">
        <v>102</v>
      </c>
      <c r="T90" s="90" t="s">
        <v>102</v>
      </c>
      <c r="U90" s="90" t="s">
        <v>135</v>
      </c>
      <c r="V90" s="90" t="s">
        <v>102</v>
      </c>
      <c r="W90" s="90" t="s">
        <v>143</v>
      </c>
      <c r="X90" s="90" t="s">
        <v>102</v>
      </c>
      <c r="Y90" s="90" t="s">
        <v>102</v>
      </c>
      <c r="Z90" s="90" t="s">
        <v>102</v>
      </c>
      <c r="AA90" s="90" t="s">
        <v>102</v>
      </c>
    </row>
    <row r="91" spans="1:27" ht="15" x14ac:dyDescent="0.25">
      <c r="A91" s="88" t="s">
        <v>410</v>
      </c>
      <c r="B91" s="88" t="s">
        <v>144</v>
      </c>
      <c r="C91" s="88" t="s">
        <v>101</v>
      </c>
      <c r="D91" s="90" t="s">
        <v>102</v>
      </c>
      <c r="E91" s="90" t="s">
        <v>102</v>
      </c>
      <c r="F91" s="90" t="s">
        <v>171</v>
      </c>
      <c r="G91" s="90" t="s">
        <v>102</v>
      </c>
      <c r="H91" s="90" t="s">
        <v>195</v>
      </c>
      <c r="I91" s="90" t="s">
        <v>102</v>
      </c>
      <c r="J91" s="90" t="s">
        <v>275</v>
      </c>
      <c r="K91" s="90" t="s">
        <v>102</v>
      </c>
      <c r="L91" s="90" t="s">
        <v>247</v>
      </c>
      <c r="M91" s="90" t="s">
        <v>102</v>
      </c>
      <c r="N91" s="90" t="s">
        <v>102</v>
      </c>
      <c r="O91" s="90" t="s">
        <v>102</v>
      </c>
      <c r="P91" s="90" t="s">
        <v>135</v>
      </c>
      <c r="Q91" s="90" t="s">
        <v>408</v>
      </c>
      <c r="R91" s="90" t="s">
        <v>409</v>
      </c>
      <c r="S91" s="90" t="s">
        <v>102</v>
      </c>
      <c r="T91" s="90" t="s">
        <v>102</v>
      </c>
      <c r="U91" s="90" t="s">
        <v>364</v>
      </c>
      <c r="V91" s="90" t="s">
        <v>102</v>
      </c>
      <c r="W91" s="90" t="s">
        <v>102</v>
      </c>
      <c r="X91" s="90" t="s">
        <v>102</v>
      </c>
      <c r="Y91" s="90" t="s">
        <v>102</v>
      </c>
      <c r="Z91" s="90" t="s">
        <v>102</v>
      </c>
      <c r="AA91" s="90" t="s">
        <v>102</v>
      </c>
    </row>
    <row r="92" spans="1:27" ht="15" x14ac:dyDescent="0.25">
      <c r="A92" s="88" t="s">
        <v>410</v>
      </c>
      <c r="B92" s="88" t="s">
        <v>145</v>
      </c>
      <c r="C92" s="88" t="s">
        <v>101</v>
      </c>
      <c r="D92" s="90" t="s">
        <v>102</v>
      </c>
      <c r="E92" s="90" t="s">
        <v>102</v>
      </c>
      <c r="F92" s="90" t="s">
        <v>102</v>
      </c>
      <c r="G92" s="90" t="s">
        <v>102</v>
      </c>
      <c r="H92" s="90" t="s">
        <v>146</v>
      </c>
      <c r="I92" s="90" t="s">
        <v>102</v>
      </c>
      <c r="J92" s="90" t="s">
        <v>102</v>
      </c>
      <c r="K92" s="90" t="s">
        <v>102</v>
      </c>
      <c r="L92" s="90" t="s">
        <v>132</v>
      </c>
      <c r="M92" s="90" t="s">
        <v>102</v>
      </c>
      <c r="N92" s="90" t="s">
        <v>102</v>
      </c>
      <c r="O92" s="90" t="s">
        <v>102</v>
      </c>
      <c r="P92" s="90" t="s">
        <v>102</v>
      </c>
      <c r="Q92" s="90" t="s">
        <v>147</v>
      </c>
      <c r="R92" s="90" t="s">
        <v>140</v>
      </c>
      <c r="S92" s="90" t="s">
        <v>102</v>
      </c>
      <c r="T92" s="90" t="s">
        <v>102</v>
      </c>
      <c r="U92" s="90" t="s">
        <v>140</v>
      </c>
      <c r="V92" s="90" t="s">
        <v>102</v>
      </c>
      <c r="W92" s="90" t="s">
        <v>148</v>
      </c>
      <c r="X92" s="90" t="s">
        <v>115</v>
      </c>
      <c r="Y92" s="90" t="s">
        <v>115</v>
      </c>
      <c r="Z92" s="90" t="s">
        <v>102</v>
      </c>
      <c r="AA92" s="90" t="s">
        <v>102</v>
      </c>
    </row>
    <row r="93" spans="1:27" ht="15" x14ac:dyDescent="0.25">
      <c r="A93" s="88" t="s">
        <v>410</v>
      </c>
      <c r="B93" s="88" t="s">
        <v>412</v>
      </c>
      <c r="C93" s="88" t="s">
        <v>101</v>
      </c>
      <c r="D93" s="90" t="s">
        <v>102</v>
      </c>
      <c r="E93" s="90" t="s">
        <v>102</v>
      </c>
      <c r="F93" s="90" t="s">
        <v>119</v>
      </c>
      <c r="G93" s="90" t="s">
        <v>102</v>
      </c>
      <c r="H93" s="90" t="s">
        <v>132</v>
      </c>
      <c r="I93" s="90" t="s">
        <v>102</v>
      </c>
      <c r="J93" s="90" t="s">
        <v>413</v>
      </c>
      <c r="K93" s="90" t="s">
        <v>102</v>
      </c>
      <c r="L93" s="90" t="s">
        <v>152</v>
      </c>
      <c r="M93" s="90" t="s">
        <v>102</v>
      </c>
      <c r="N93" s="90" t="s">
        <v>102</v>
      </c>
      <c r="O93" s="90" t="s">
        <v>102</v>
      </c>
      <c r="P93" s="90" t="s">
        <v>102</v>
      </c>
      <c r="Q93" s="90" t="s">
        <v>102</v>
      </c>
      <c r="R93" s="90" t="s">
        <v>102</v>
      </c>
      <c r="S93" s="90" t="s">
        <v>102</v>
      </c>
      <c r="T93" s="90" t="s">
        <v>102</v>
      </c>
      <c r="U93" s="90" t="s">
        <v>102</v>
      </c>
      <c r="V93" s="90" t="s">
        <v>102</v>
      </c>
      <c r="W93" s="90" t="s">
        <v>102</v>
      </c>
      <c r="X93" s="90" t="s">
        <v>102</v>
      </c>
      <c r="Y93" s="90" t="s">
        <v>102</v>
      </c>
      <c r="Z93" s="90" t="s">
        <v>102</v>
      </c>
      <c r="AA93" s="90" t="s">
        <v>102</v>
      </c>
    </row>
    <row r="94" spans="1:27" ht="15" x14ac:dyDescent="0.25">
      <c r="A94" s="88" t="s">
        <v>410</v>
      </c>
      <c r="B94" s="88" t="s">
        <v>149</v>
      </c>
      <c r="C94" s="88" t="s">
        <v>101</v>
      </c>
      <c r="D94" s="90" t="s">
        <v>102</v>
      </c>
      <c r="E94" s="90" t="s">
        <v>102</v>
      </c>
      <c r="F94" s="90" t="s">
        <v>147</v>
      </c>
      <c r="G94" s="90" t="s">
        <v>102</v>
      </c>
      <c r="H94" s="90" t="s">
        <v>150</v>
      </c>
      <c r="I94" s="90" t="s">
        <v>102</v>
      </c>
      <c r="J94" s="90" t="s">
        <v>151</v>
      </c>
      <c r="K94" s="90" t="s">
        <v>102</v>
      </c>
      <c r="L94" s="90" t="s">
        <v>152</v>
      </c>
      <c r="M94" s="90" t="s">
        <v>102</v>
      </c>
      <c r="N94" s="90" t="s">
        <v>102</v>
      </c>
      <c r="O94" s="90" t="s">
        <v>102</v>
      </c>
      <c r="P94" s="90" t="s">
        <v>141</v>
      </c>
      <c r="Q94" s="90" t="s">
        <v>135</v>
      </c>
      <c r="R94" s="90" t="s">
        <v>143</v>
      </c>
      <c r="S94" s="90" t="s">
        <v>102</v>
      </c>
      <c r="T94" s="90" t="s">
        <v>102</v>
      </c>
      <c r="U94" s="90" t="s">
        <v>153</v>
      </c>
      <c r="V94" s="90" t="s">
        <v>102</v>
      </c>
      <c r="W94" s="90" t="s">
        <v>102</v>
      </c>
      <c r="X94" s="90" t="s">
        <v>102</v>
      </c>
      <c r="Y94" s="90" t="s">
        <v>102</v>
      </c>
      <c r="Z94" s="90" t="s">
        <v>102</v>
      </c>
      <c r="AA94" s="90" t="s">
        <v>102</v>
      </c>
    </row>
    <row r="95" spans="1:27" ht="15" x14ac:dyDescent="0.25">
      <c r="A95" s="88" t="s">
        <v>410</v>
      </c>
      <c r="B95" s="88" t="s">
        <v>154</v>
      </c>
      <c r="C95" s="88" t="s">
        <v>101</v>
      </c>
      <c r="D95" s="90" t="s">
        <v>102</v>
      </c>
      <c r="E95" s="90" t="s">
        <v>102</v>
      </c>
      <c r="F95" s="90" t="s">
        <v>124</v>
      </c>
      <c r="G95" s="90" t="s">
        <v>102</v>
      </c>
      <c r="H95" s="90" t="s">
        <v>125</v>
      </c>
      <c r="I95" s="90" t="s">
        <v>102</v>
      </c>
      <c r="J95" s="90" t="s">
        <v>122</v>
      </c>
      <c r="K95" s="90" t="s">
        <v>102</v>
      </c>
      <c r="L95" s="90" t="s">
        <v>148</v>
      </c>
      <c r="M95" s="90" t="s">
        <v>102</v>
      </c>
      <c r="N95" s="90" t="s">
        <v>102</v>
      </c>
      <c r="O95" s="90" t="s">
        <v>102</v>
      </c>
      <c r="P95" s="90" t="s">
        <v>414</v>
      </c>
      <c r="Q95" s="90" t="s">
        <v>415</v>
      </c>
      <c r="R95" s="90" t="s">
        <v>416</v>
      </c>
      <c r="S95" s="90" t="s">
        <v>417</v>
      </c>
      <c r="T95" s="90" t="s">
        <v>102</v>
      </c>
      <c r="U95" s="90" t="s">
        <v>381</v>
      </c>
      <c r="V95" s="90" t="s">
        <v>102</v>
      </c>
      <c r="W95" s="90" t="s">
        <v>418</v>
      </c>
      <c r="X95" s="90" t="s">
        <v>102</v>
      </c>
      <c r="Y95" s="90" t="s">
        <v>102</v>
      </c>
      <c r="Z95" s="90" t="s">
        <v>102</v>
      </c>
      <c r="AA95" s="90" t="s">
        <v>102</v>
      </c>
    </row>
    <row r="96" spans="1:27" ht="15" x14ac:dyDescent="0.25">
      <c r="A96" s="88" t="s">
        <v>410</v>
      </c>
      <c r="B96" s="88" t="s">
        <v>160</v>
      </c>
      <c r="C96" s="88" t="s">
        <v>101</v>
      </c>
      <c r="D96" s="90" t="s">
        <v>102</v>
      </c>
      <c r="E96" s="90" t="s">
        <v>102</v>
      </c>
      <c r="F96" s="90" t="s">
        <v>116</v>
      </c>
      <c r="G96" s="90" t="s">
        <v>102</v>
      </c>
      <c r="H96" s="90" t="s">
        <v>157</v>
      </c>
      <c r="I96" s="90" t="s">
        <v>102</v>
      </c>
      <c r="J96" s="90" t="s">
        <v>276</v>
      </c>
      <c r="K96" s="90" t="s">
        <v>102</v>
      </c>
      <c r="L96" s="90" t="s">
        <v>247</v>
      </c>
      <c r="M96" s="90" t="s">
        <v>102</v>
      </c>
      <c r="N96" s="90" t="s">
        <v>102</v>
      </c>
      <c r="O96" s="90" t="s">
        <v>102</v>
      </c>
      <c r="P96" s="90" t="s">
        <v>164</v>
      </c>
      <c r="Q96" s="90" t="s">
        <v>164</v>
      </c>
      <c r="R96" s="90" t="s">
        <v>164</v>
      </c>
      <c r="S96" s="90" t="s">
        <v>128</v>
      </c>
      <c r="T96" s="90" t="s">
        <v>102</v>
      </c>
      <c r="U96" s="90" t="s">
        <v>143</v>
      </c>
      <c r="V96" s="90" t="s">
        <v>102</v>
      </c>
      <c r="W96" s="90" t="s">
        <v>128</v>
      </c>
      <c r="X96" s="90" t="s">
        <v>164</v>
      </c>
      <c r="Y96" s="90" t="s">
        <v>164</v>
      </c>
      <c r="Z96" s="90" t="s">
        <v>102</v>
      </c>
      <c r="AA96" s="90" t="s">
        <v>102</v>
      </c>
    </row>
    <row r="97" spans="1:27" ht="15" x14ac:dyDescent="0.25">
      <c r="A97" s="88" t="s">
        <v>419</v>
      </c>
      <c r="B97" s="88" t="s">
        <v>420</v>
      </c>
      <c r="C97" s="88" t="s">
        <v>170</v>
      </c>
      <c r="D97" s="90" t="s">
        <v>229</v>
      </c>
      <c r="E97" s="90" t="s">
        <v>102</v>
      </c>
      <c r="F97" s="90" t="s">
        <v>229</v>
      </c>
      <c r="G97" s="90" t="s">
        <v>102</v>
      </c>
      <c r="H97" s="90" t="s">
        <v>280</v>
      </c>
      <c r="I97" s="90" t="s">
        <v>102</v>
      </c>
      <c r="J97" s="90" t="s">
        <v>119</v>
      </c>
      <c r="K97" s="90" t="s">
        <v>119</v>
      </c>
      <c r="L97" s="90" t="s">
        <v>112</v>
      </c>
      <c r="M97" s="90" t="s">
        <v>102</v>
      </c>
      <c r="N97" s="90" t="s">
        <v>102</v>
      </c>
      <c r="O97" s="90" t="s">
        <v>102</v>
      </c>
      <c r="P97" s="90" t="s">
        <v>102</v>
      </c>
      <c r="Q97" s="90" t="s">
        <v>102</v>
      </c>
      <c r="R97" s="90" t="s">
        <v>102</v>
      </c>
      <c r="S97" s="90" t="s">
        <v>102</v>
      </c>
      <c r="T97" s="90" t="s">
        <v>102</v>
      </c>
      <c r="U97" s="90" t="s">
        <v>102</v>
      </c>
      <c r="V97" s="90" t="s">
        <v>102</v>
      </c>
      <c r="W97" s="90" t="s">
        <v>102</v>
      </c>
      <c r="X97" s="90" t="s">
        <v>102</v>
      </c>
      <c r="Y97" s="90" t="s">
        <v>102</v>
      </c>
      <c r="Z97" s="90" t="s">
        <v>102</v>
      </c>
      <c r="AA97" s="90" t="s">
        <v>102</v>
      </c>
    </row>
    <row r="98" spans="1:27" ht="15" x14ac:dyDescent="0.25">
      <c r="A98" s="88" t="s">
        <v>421</v>
      </c>
      <c r="B98" s="88" t="s">
        <v>169</v>
      </c>
      <c r="C98" s="88" t="s">
        <v>422</v>
      </c>
      <c r="D98" s="90" t="s">
        <v>102</v>
      </c>
      <c r="E98" s="90" t="s">
        <v>102</v>
      </c>
      <c r="F98" s="90" t="s">
        <v>423</v>
      </c>
      <c r="G98" s="90" t="s">
        <v>102</v>
      </c>
      <c r="H98" s="90" t="s">
        <v>424</v>
      </c>
      <c r="I98" s="90" t="s">
        <v>102</v>
      </c>
      <c r="J98" s="90" t="s">
        <v>425</v>
      </c>
      <c r="K98" s="90" t="s">
        <v>426</v>
      </c>
      <c r="L98" s="90" t="s">
        <v>102</v>
      </c>
      <c r="M98" s="90" t="s">
        <v>102</v>
      </c>
      <c r="N98" s="90" t="s">
        <v>102</v>
      </c>
      <c r="O98" s="90" t="s">
        <v>102</v>
      </c>
      <c r="P98" s="90" t="s">
        <v>102</v>
      </c>
      <c r="Q98" s="90" t="s">
        <v>102</v>
      </c>
      <c r="R98" s="90" t="s">
        <v>102</v>
      </c>
      <c r="S98" s="90" t="s">
        <v>102</v>
      </c>
      <c r="T98" s="90" t="s">
        <v>102</v>
      </c>
      <c r="U98" s="90" t="s">
        <v>427</v>
      </c>
      <c r="V98" s="90" t="s">
        <v>102</v>
      </c>
      <c r="W98" s="90" t="s">
        <v>102</v>
      </c>
      <c r="X98" s="90" t="s">
        <v>102</v>
      </c>
      <c r="Y98" s="90" t="s">
        <v>102</v>
      </c>
      <c r="Z98" s="90" t="s">
        <v>102</v>
      </c>
      <c r="AA98" s="90" t="s">
        <v>102</v>
      </c>
    </row>
    <row r="99" spans="1:27" ht="15" x14ac:dyDescent="0.25">
      <c r="A99" s="88" t="s">
        <v>421</v>
      </c>
      <c r="B99" s="88" t="s">
        <v>154</v>
      </c>
      <c r="C99" s="88" t="s">
        <v>170</v>
      </c>
      <c r="D99" s="90" t="s">
        <v>102</v>
      </c>
      <c r="E99" s="90" t="s">
        <v>115</v>
      </c>
      <c r="F99" s="90" t="s">
        <v>102</v>
      </c>
      <c r="G99" s="90" t="s">
        <v>428</v>
      </c>
      <c r="H99" s="90" t="s">
        <v>102</v>
      </c>
      <c r="I99" s="90" t="s">
        <v>157</v>
      </c>
      <c r="J99" s="90" t="s">
        <v>383</v>
      </c>
      <c r="K99" s="90" t="s">
        <v>364</v>
      </c>
      <c r="L99" s="90" t="s">
        <v>250</v>
      </c>
      <c r="M99" s="90" t="s">
        <v>102</v>
      </c>
      <c r="N99" s="90" t="s">
        <v>102</v>
      </c>
      <c r="O99" s="90" t="s">
        <v>102</v>
      </c>
      <c r="P99" s="90" t="s">
        <v>102</v>
      </c>
      <c r="Q99" s="90" t="s">
        <v>102</v>
      </c>
      <c r="R99" s="90" t="s">
        <v>102</v>
      </c>
      <c r="S99" s="90" t="s">
        <v>102</v>
      </c>
      <c r="T99" s="90" t="s">
        <v>102</v>
      </c>
      <c r="U99" s="90" t="s">
        <v>429</v>
      </c>
      <c r="V99" s="90" t="s">
        <v>102</v>
      </c>
      <c r="W99" s="90" t="s">
        <v>102</v>
      </c>
      <c r="X99" s="90" t="s">
        <v>102</v>
      </c>
      <c r="Y99" s="90" t="s">
        <v>102</v>
      </c>
      <c r="Z99" s="90" t="s">
        <v>102</v>
      </c>
      <c r="AA99" s="90" t="s">
        <v>102</v>
      </c>
    </row>
    <row r="100" spans="1:27" ht="15" x14ac:dyDescent="0.25">
      <c r="A100" s="88" t="s">
        <v>430</v>
      </c>
      <c r="B100" s="88" t="s">
        <v>304</v>
      </c>
      <c r="C100" s="88" t="s">
        <v>431</v>
      </c>
      <c r="D100" s="90" t="s">
        <v>102</v>
      </c>
      <c r="E100" s="90" t="s">
        <v>102</v>
      </c>
      <c r="F100" s="90" t="s">
        <v>432</v>
      </c>
      <c r="G100" s="90" t="s">
        <v>102</v>
      </c>
      <c r="H100" s="90" t="s">
        <v>433</v>
      </c>
      <c r="I100" s="90" t="s">
        <v>102</v>
      </c>
      <c r="J100" s="90" t="s">
        <v>102</v>
      </c>
      <c r="K100" s="90" t="s">
        <v>102</v>
      </c>
      <c r="L100" s="90" t="s">
        <v>434</v>
      </c>
      <c r="M100" s="90" t="s">
        <v>102</v>
      </c>
      <c r="N100" s="90" t="s">
        <v>102</v>
      </c>
      <c r="O100" s="90" t="s">
        <v>102</v>
      </c>
      <c r="P100" s="90" t="s">
        <v>102</v>
      </c>
      <c r="Q100" s="90" t="s">
        <v>435</v>
      </c>
      <c r="R100" s="90" t="s">
        <v>102</v>
      </c>
      <c r="S100" s="90" t="s">
        <v>102</v>
      </c>
      <c r="T100" s="90" t="s">
        <v>102</v>
      </c>
      <c r="U100" s="90" t="s">
        <v>102</v>
      </c>
      <c r="V100" s="90" t="s">
        <v>102</v>
      </c>
      <c r="W100" s="90" t="s">
        <v>102</v>
      </c>
      <c r="X100" s="90" t="s">
        <v>102</v>
      </c>
      <c r="Y100" s="90" t="s">
        <v>102</v>
      </c>
      <c r="Z100" s="90" t="s">
        <v>102</v>
      </c>
      <c r="AA100" s="90" t="s">
        <v>102</v>
      </c>
    </row>
    <row r="101" spans="1:27" ht="15" x14ac:dyDescent="0.25">
      <c r="A101" s="88" t="s">
        <v>430</v>
      </c>
      <c r="B101" s="88" t="s">
        <v>371</v>
      </c>
      <c r="C101" s="88" t="s">
        <v>431</v>
      </c>
      <c r="D101" s="90" t="s">
        <v>102</v>
      </c>
      <c r="E101" s="90" t="s">
        <v>102</v>
      </c>
      <c r="F101" s="90" t="s">
        <v>432</v>
      </c>
      <c r="G101" s="90" t="s">
        <v>102</v>
      </c>
      <c r="H101" s="90" t="s">
        <v>433</v>
      </c>
      <c r="I101" s="90" t="s">
        <v>102</v>
      </c>
      <c r="J101" s="90" t="s">
        <v>102</v>
      </c>
      <c r="K101" s="90" t="s">
        <v>102</v>
      </c>
      <c r="L101" s="90" t="s">
        <v>434</v>
      </c>
      <c r="M101" s="90" t="s">
        <v>102</v>
      </c>
      <c r="N101" s="90" t="s">
        <v>102</v>
      </c>
      <c r="O101" s="90" t="s">
        <v>102</v>
      </c>
      <c r="P101" s="90" t="s">
        <v>102</v>
      </c>
      <c r="Q101" s="90" t="s">
        <v>435</v>
      </c>
      <c r="R101" s="90" t="s">
        <v>102</v>
      </c>
      <c r="S101" s="90" t="s">
        <v>102</v>
      </c>
      <c r="T101" s="90" t="s">
        <v>102</v>
      </c>
      <c r="U101" s="90" t="s">
        <v>102</v>
      </c>
      <c r="V101" s="90" t="s">
        <v>102</v>
      </c>
      <c r="W101" s="90" t="s">
        <v>102</v>
      </c>
      <c r="X101" s="90" t="s">
        <v>102</v>
      </c>
      <c r="Y101" s="90" t="s">
        <v>102</v>
      </c>
      <c r="Z101" s="90" t="s">
        <v>102</v>
      </c>
      <c r="AA101" s="90" t="s">
        <v>102</v>
      </c>
    </row>
    <row r="102" spans="1:27" ht="15" x14ac:dyDescent="0.25">
      <c r="A102" s="88" t="s">
        <v>430</v>
      </c>
      <c r="B102" s="88" t="s">
        <v>316</v>
      </c>
      <c r="C102" s="88" t="s">
        <v>431</v>
      </c>
      <c r="D102" s="90" t="s">
        <v>102</v>
      </c>
      <c r="E102" s="90" t="s">
        <v>102</v>
      </c>
      <c r="F102" s="90" t="s">
        <v>432</v>
      </c>
      <c r="G102" s="90" t="s">
        <v>102</v>
      </c>
      <c r="H102" s="90" t="s">
        <v>433</v>
      </c>
      <c r="I102" s="90" t="s">
        <v>102</v>
      </c>
      <c r="J102" s="90" t="s">
        <v>102</v>
      </c>
      <c r="K102" s="90" t="s">
        <v>102</v>
      </c>
      <c r="L102" s="90" t="s">
        <v>434</v>
      </c>
      <c r="M102" s="90" t="s">
        <v>102</v>
      </c>
      <c r="N102" s="90" t="s">
        <v>102</v>
      </c>
      <c r="O102" s="90" t="s">
        <v>102</v>
      </c>
      <c r="P102" s="90" t="s">
        <v>102</v>
      </c>
      <c r="Q102" s="90" t="s">
        <v>435</v>
      </c>
      <c r="R102" s="90" t="s">
        <v>102</v>
      </c>
      <c r="S102" s="90" t="s">
        <v>102</v>
      </c>
      <c r="T102" s="90" t="s">
        <v>102</v>
      </c>
      <c r="U102" s="90" t="s">
        <v>102</v>
      </c>
      <c r="V102" s="90" t="s">
        <v>102</v>
      </c>
      <c r="W102" s="90" t="s">
        <v>102</v>
      </c>
      <c r="X102" s="90" t="s">
        <v>102</v>
      </c>
      <c r="Y102" s="90" t="s">
        <v>102</v>
      </c>
      <c r="Z102" s="90" t="s">
        <v>102</v>
      </c>
      <c r="AA102" s="90" t="s">
        <v>102</v>
      </c>
    </row>
    <row r="103" spans="1:27" ht="15" x14ac:dyDescent="0.25">
      <c r="A103" s="88" t="s">
        <v>436</v>
      </c>
      <c r="B103" s="88" t="s">
        <v>169</v>
      </c>
      <c r="C103" s="88" t="s">
        <v>437</v>
      </c>
      <c r="D103" s="90" t="s">
        <v>102</v>
      </c>
      <c r="E103" s="90" t="s">
        <v>102</v>
      </c>
      <c r="F103" s="90" t="s">
        <v>102</v>
      </c>
      <c r="G103" s="90" t="s">
        <v>102</v>
      </c>
      <c r="H103" s="90" t="s">
        <v>438</v>
      </c>
      <c r="I103" s="90" t="s">
        <v>102</v>
      </c>
      <c r="J103" s="90" t="s">
        <v>298</v>
      </c>
      <c r="K103" s="90" t="s">
        <v>102</v>
      </c>
      <c r="L103" s="90" t="s">
        <v>102</v>
      </c>
      <c r="M103" s="90" t="s">
        <v>102</v>
      </c>
      <c r="N103" s="90" t="s">
        <v>102</v>
      </c>
      <c r="O103" s="90" t="s">
        <v>439</v>
      </c>
      <c r="P103" s="90" t="s">
        <v>102</v>
      </c>
      <c r="Q103" s="90" t="s">
        <v>102</v>
      </c>
      <c r="R103" s="90" t="s">
        <v>102</v>
      </c>
      <c r="S103" s="90" t="s">
        <v>440</v>
      </c>
      <c r="T103" s="90" t="s">
        <v>102</v>
      </c>
      <c r="U103" s="90" t="s">
        <v>102</v>
      </c>
      <c r="V103" s="90" t="s">
        <v>102</v>
      </c>
      <c r="W103" s="90" t="s">
        <v>102</v>
      </c>
      <c r="X103" s="90" t="s">
        <v>102</v>
      </c>
      <c r="Y103" s="90" t="s">
        <v>102</v>
      </c>
      <c r="Z103" s="90" t="s">
        <v>102</v>
      </c>
      <c r="AA103" s="90" t="s">
        <v>102</v>
      </c>
    </row>
    <row r="104" spans="1:27" ht="15" x14ac:dyDescent="0.25">
      <c r="A104" s="88" t="s">
        <v>441</v>
      </c>
      <c r="B104" s="88" t="s">
        <v>176</v>
      </c>
      <c r="C104" s="88" t="s">
        <v>101</v>
      </c>
      <c r="D104" s="90" t="s">
        <v>102</v>
      </c>
      <c r="E104" s="90" t="s">
        <v>102</v>
      </c>
      <c r="F104" s="90" t="s">
        <v>102</v>
      </c>
      <c r="G104" s="90" t="s">
        <v>102</v>
      </c>
      <c r="H104" s="90" t="s">
        <v>280</v>
      </c>
      <c r="I104" s="90" t="s">
        <v>102</v>
      </c>
      <c r="J104" s="90" t="s">
        <v>102</v>
      </c>
      <c r="K104" s="90" t="s">
        <v>102</v>
      </c>
      <c r="L104" s="90" t="s">
        <v>102</v>
      </c>
      <c r="M104" s="90" t="s">
        <v>102</v>
      </c>
      <c r="N104" s="90" t="s">
        <v>102</v>
      </c>
      <c r="O104" s="90" t="s">
        <v>114</v>
      </c>
      <c r="P104" s="90" t="s">
        <v>172</v>
      </c>
      <c r="Q104" s="90" t="s">
        <v>102</v>
      </c>
      <c r="R104" s="90" t="s">
        <v>442</v>
      </c>
      <c r="S104" s="90" t="s">
        <v>102</v>
      </c>
      <c r="T104" s="90" t="s">
        <v>102</v>
      </c>
      <c r="U104" s="90" t="s">
        <v>102</v>
      </c>
      <c r="V104" s="90" t="s">
        <v>102</v>
      </c>
      <c r="W104" s="90" t="s">
        <v>102</v>
      </c>
      <c r="X104" s="90" t="s">
        <v>413</v>
      </c>
      <c r="Y104" s="90" t="s">
        <v>102</v>
      </c>
      <c r="Z104" s="90" t="s">
        <v>102</v>
      </c>
      <c r="AA104" s="90" t="s">
        <v>102</v>
      </c>
    </row>
    <row r="105" spans="1:27" ht="15" x14ac:dyDescent="0.25">
      <c r="A105" s="88" t="s">
        <v>443</v>
      </c>
      <c r="B105" s="88" t="s">
        <v>169</v>
      </c>
      <c r="C105" s="88" t="s">
        <v>170</v>
      </c>
      <c r="D105" s="90" t="s">
        <v>102</v>
      </c>
      <c r="E105" s="90" t="s">
        <v>102</v>
      </c>
      <c r="F105" s="90" t="s">
        <v>146</v>
      </c>
      <c r="G105" s="90" t="s">
        <v>102</v>
      </c>
      <c r="H105" s="90" t="s">
        <v>158</v>
      </c>
      <c r="I105" s="90" t="s">
        <v>102</v>
      </c>
      <c r="J105" s="90" t="s">
        <v>338</v>
      </c>
      <c r="K105" s="90" t="s">
        <v>444</v>
      </c>
      <c r="L105" s="90" t="s">
        <v>102</v>
      </c>
      <c r="M105" s="90" t="s">
        <v>102</v>
      </c>
      <c r="N105" s="90" t="s">
        <v>102</v>
      </c>
      <c r="O105" s="90" t="s">
        <v>102</v>
      </c>
      <c r="P105" s="90" t="s">
        <v>445</v>
      </c>
      <c r="Q105" s="90" t="s">
        <v>102</v>
      </c>
      <c r="R105" s="90" t="s">
        <v>102</v>
      </c>
      <c r="S105" s="90" t="s">
        <v>102</v>
      </c>
      <c r="T105" s="90" t="s">
        <v>102</v>
      </c>
      <c r="U105" s="90" t="s">
        <v>158</v>
      </c>
      <c r="V105" s="90" t="s">
        <v>102</v>
      </c>
      <c r="W105" s="90" t="s">
        <v>102</v>
      </c>
      <c r="X105" s="90" t="s">
        <v>102</v>
      </c>
      <c r="Y105" s="90" t="s">
        <v>102</v>
      </c>
      <c r="Z105" s="90" t="s">
        <v>102</v>
      </c>
      <c r="AA105" s="90" t="s">
        <v>102</v>
      </c>
    </row>
    <row r="106" spans="1:27" ht="15" x14ac:dyDescent="0.25">
      <c r="A106" s="88" t="s">
        <v>443</v>
      </c>
      <c r="B106" s="88" t="s">
        <v>176</v>
      </c>
      <c r="C106" s="88" t="s">
        <v>170</v>
      </c>
      <c r="D106" s="90" t="s">
        <v>446</v>
      </c>
      <c r="E106" s="90" t="s">
        <v>102</v>
      </c>
      <c r="F106" s="90" t="s">
        <v>446</v>
      </c>
      <c r="G106" s="90" t="s">
        <v>279</v>
      </c>
      <c r="H106" s="90" t="s">
        <v>447</v>
      </c>
      <c r="I106" s="90" t="s">
        <v>102</v>
      </c>
      <c r="J106" s="90" t="s">
        <v>448</v>
      </c>
      <c r="K106" s="90" t="s">
        <v>448</v>
      </c>
      <c r="L106" s="90" t="s">
        <v>449</v>
      </c>
      <c r="M106" s="90" t="s">
        <v>102</v>
      </c>
      <c r="N106" s="90" t="s">
        <v>102</v>
      </c>
      <c r="O106" s="90" t="s">
        <v>102</v>
      </c>
      <c r="P106" s="90" t="s">
        <v>102</v>
      </c>
      <c r="Q106" s="90" t="s">
        <v>102</v>
      </c>
      <c r="R106" s="90" t="s">
        <v>102</v>
      </c>
      <c r="S106" s="90" t="s">
        <v>102</v>
      </c>
      <c r="T106" s="90" t="s">
        <v>102</v>
      </c>
      <c r="U106" s="90" t="s">
        <v>450</v>
      </c>
      <c r="V106" s="90" t="s">
        <v>102</v>
      </c>
      <c r="W106" s="90" t="s">
        <v>102</v>
      </c>
      <c r="X106" s="90" t="s">
        <v>102</v>
      </c>
      <c r="Y106" s="90" t="s">
        <v>102</v>
      </c>
      <c r="Z106" s="90" t="s">
        <v>102</v>
      </c>
      <c r="AA106" s="90" t="s">
        <v>102</v>
      </c>
    </row>
    <row r="107" spans="1:27" ht="15" x14ac:dyDescent="0.25">
      <c r="A107" s="88" t="s">
        <v>451</v>
      </c>
      <c r="B107" s="88" t="s">
        <v>169</v>
      </c>
      <c r="C107" s="88" t="s">
        <v>101</v>
      </c>
      <c r="D107" s="90" t="s">
        <v>452</v>
      </c>
      <c r="E107" s="90" t="s">
        <v>102</v>
      </c>
      <c r="F107" s="90" t="s">
        <v>453</v>
      </c>
      <c r="G107" s="90" t="s">
        <v>102</v>
      </c>
      <c r="H107" s="90" t="s">
        <v>454</v>
      </c>
      <c r="I107" s="90" t="s">
        <v>102</v>
      </c>
      <c r="J107" s="90" t="s">
        <v>102</v>
      </c>
      <c r="K107" s="90" t="s">
        <v>455</v>
      </c>
      <c r="L107" s="90" t="s">
        <v>102</v>
      </c>
      <c r="M107" s="90" t="s">
        <v>456</v>
      </c>
      <c r="N107" s="90" t="s">
        <v>457</v>
      </c>
      <c r="O107" s="90" t="s">
        <v>102</v>
      </c>
      <c r="P107" s="90" t="s">
        <v>458</v>
      </c>
      <c r="Q107" s="90" t="s">
        <v>102</v>
      </c>
      <c r="R107" s="90" t="s">
        <v>102</v>
      </c>
      <c r="S107" s="90" t="s">
        <v>102</v>
      </c>
      <c r="T107" s="90" t="s">
        <v>102</v>
      </c>
      <c r="U107" s="90" t="s">
        <v>102</v>
      </c>
      <c r="V107" s="90" t="s">
        <v>102</v>
      </c>
      <c r="W107" s="90" t="s">
        <v>102</v>
      </c>
      <c r="X107" s="90" t="s">
        <v>102</v>
      </c>
      <c r="Y107" s="90" t="s">
        <v>102</v>
      </c>
      <c r="Z107" s="90" t="s">
        <v>102</v>
      </c>
      <c r="AA107" s="90" t="s">
        <v>102</v>
      </c>
    </row>
    <row r="108" spans="1:27" ht="15" x14ac:dyDescent="0.25">
      <c r="A108" s="88" t="s">
        <v>451</v>
      </c>
      <c r="B108" s="88" t="s">
        <v>154</v>
      </c>
      <c r="C108" s="88" t="s">
        <v>101</v>
      </c>
      <c r="D108" s="90" t="s">
        <v>102</v>
      </c>
      <c r="E108" s="90" t="s">
        <v>102</v>
      </c>
      <c r="F108" s="90" t="s">
        <v>231</v>
      </c>
      <c r="G108" s="90" t="s">
        <v>102</v>
      </c>
      <c r="H108" s="90" t="s">
        <v>459</v>
      </c>
      <c r="I108" s="90" t="s">
        <v>102</v>
      </c>
      <c r="J108" s="90" t="s">
        <v>194</v>
      </c>
      <c r="K108" s="90" t="s">
        <v>147</v>
      </c>
      <c r="L108" s="90" t="s">
        <v>102</v>
      </c>
      <c r="M108" s="90" t="s">
        <v>102</v>
      </c>
      <c r="N108" s="90" t="s">
        <v>102</v>
      </c>
      <c r="O108" s="90" t="s">
        <v>102</v>
      </c>
      <c r="P108" s="90" t="s">
        <v>275</v>
      </c>
      <c r="Q108" s="90" t="s">
        <v>102</v>
      </c>
      <c r="R108" s="90" t="s">
        <v>102</v>
      </c>
      <c r="S108" s="90" t="s">
        <v>102</v>
      </c>
      <c r="T108" s="90" t="s">
        <v>102</v>
      </c>
      <c r="U108" s="90" t="s">
        <v>444</v>
      </c>
      <c r="V108" s="90" t="s">
        <v>102</v>
      </c>
      <c r="W108" s="90" t="s">
        <v>102</v>
      </c>
      <c r="X108" s="90" t="s">
        <v>102</v>
      </c>
      <c r="Y108" s="90" t="s">
        <v>102</v>
      </c>
      <c r="Z108" s="90" t="s">
        <v>102</v>
      </c>
      <c r="AA108" s="90" t="s">
        <v>102</v>
      </c>
    </row>
    <row r="109" spans="1:27" ht="15" x14ac:dyDescent="0.25">
      <c r="A109" s="88" t="s">
        <v>460</v>
      </c>
      <c r="B109" s="88" t="s">
        <v>385</v>
      </c>
      <c r="C109" s="88" t="s">
        <v>170</v>
      </c>
      <c r="D109" s="90" t="s">
        <v>229</v>
      </c>
      <c r="E109" s="90" t="s">
        <v>102</v>
      </c>
      <c r="F109" s="90" t="s">
        <v>229</v>
      </c>
      <c r="G109" s="90" t="s">
        <v>102</v>
      </c>
      <c r="H109" s="90" t="s">
        <v>280</v>
      </c>
      <c r="I109" s="90" t="s">
        <v>102</v>
      </c>
      <c r="J109" s="90" t="s">
        <v>119</v>
      </c>
      <c r="K109" s="90" t="s">
        <v>119</v>
      </c>
      <c r="L109" s="90" t="s">
        <v>112</v>
      </c>
      <c r="M109" s="90" t="s">
        <v>102</v>
      </c>
      <c r="N109" s="90" t="s">
        <v>102</v>
      </c>
      <c r="O109" s="90" t="s">
        <v>102</v>
      </c>
      <c r="P109" s="90" t="s">
        <v>102</v>
      </c>
      <c r="Q109" s="90" t="s">
        <v>102</v>
      </c>
      <c r="R109" s="90" t="s">
        <v>102</v>
      </c>
      <c r="S109" s="90" t="s">
        <v>102</v>
      </c>
      <c r="T109" s="90" t="s">
        <v>102</v>
      </c>
      <c r="U109" s="90" t="s">
        <v>102</v>
      </c>
      <c r="V109" s="90" t="s">
        <v>102</v>
      </c>
      <c r="W109" s="90" t="s">
        <v>102</v>
      </c>
      <c r="X109" s="90" t="s">
        <v>102</v>
      </c>
      <c r="Y109" s="90" t="s">
        <v>102</v>
      </c>
      <c r="Z109" s="90" t="s">
        <v>102</v>
      </c>
      <c r="AA109" s="90" t="s">
        <v>102</v>
      </c>
    </row>
    <row r="110" spans="1:27" ht="15" x14ac:dyDescent="0.25">
      <c r="A110" s="88" t="s">
        <v>460</v>
      </c>
      <c r="B110" s="88" t="s">
        <v>169</v>
      </c>
      <c r="C110" s="88" t="s">
        <v>170</v>
      </c>
      <c r="D110" s="90" t="s">
        <v>461</v>
      </c>
      <c r="E110" s="90" t="s">
        <v>102</v>
      </c>
      <c r="F110" s="90" t="s">
        <v>462</v>
      </c>
      <c r="G110" s="90" t="s">
        <v>102</v>
      </c>
      <c r="H110" s="90" t="s">
        <v>463</v>
      </c>
      <c r="I110" s="90" t="s">
        <v>102</v>
      </c>
      <c r="J110" s="90" t="s">
        <v>464</v>
      </c>
      <c r="K110" s="90" t="s">
        <v>464</v>
      </c>
      <c r="L110" s="90" t="s">
        <v>102</v>
      </c>
      <c r="M110" s="90" t="s">
        <v>465</v>
      </c>
      <c r="N110" s="90" t="s">
        <v>466</v>
      </c>
      <c r="O110" s="90" t="s">
        <v>467</v>
      </c>
      <c r="P110" s="90" t="s">
        <v>464</v>
      </c>
      <c r="Q110" s="90" t="s">
        <v>102</v>
      </c>
      <c r="R110" s="90" t="s">
        <v>102</v>
      </c>
      <c r="S110" s="90" t="s">
        <v>468</v>
      </c>
      <c r="T110" s="90" t="s">
        <v>102</v>
      </c>
      <c r="U110" s="90" t="s">
        <v>469</v>
      </c>
      <c r="V110" s="90" t="s">
        <v>102</v>
      </c>
      <c r="W110" s="90" t="s">
        <v>470</v>
      </c>
      <c r="X110" s="90" t="s">
        <v>102</v>
      </c>
      <c r="Y110" s="90" t="s">
        <v>102</v>
      </c>
      <c r="Z110" s="90" t="s">
        <v>102</v>
      </c>
      <c r="AA110" s="90" t="s">
        <v>102</v>
      </c>
    </row>
    <row r="111" spans="1:27" ht="15" x14ac:dyDescent="0.25">
      <c r="A111" s="88" t="s">
        <v>460</v>
      </c>
      <c r="B111" s="88" t="s">
        <v>176</v>
      </c>
      <c r="C111" s="88" t="s">
        <v>170</v>
      </c>
      <c r="D111" s="90" t="s">
        <v>471</v>
      </c>
      <c r="E111" s="90" t="s">
        <v>102</v>
      </c>
      <c r="F111" s="90" t="s">
        <v>471</v>
      </c>
      <c r="G111" s="90" t="s">
        <v>102</v>
      </c>
      <c r="H111" s="90" t="s">
        <v>472</v>
      </c>
      <c r="I111" s="90" t="s">
        <v>102</v>
      </c>
      <c r="J111" s="90" t="s">
        <v>473</v>
      </c>
      <c r="K111" s="90" t="s">
        <v>473</v>
      </c>
      <c r="L111" s="90" t="s">
        <v>474</v>
      </c>
      <c r="M111" s="90" t="s">
        <v>102</v>
      </c>
      <c r="N111" s="90" t="s">
        <v>102</v>
      </c>
      <c r="O111" s="90" t="s">
        <v>102</v>
      </c>
      <c r="P111" s="90" t="s">
        <v>102</v>
      </c>
      <c r="Q111" s="90" t="s">
        <v>102</v>
      </c>
      <c r="R111" s="90" t="s">
        <v>102</v>
      </c>
      <c r="S111" s="90" t="s">
        <v>102</v>
      </c>
      <c r="T111" s="90" t="s">
        <v>102</v>
      </c>
      <c r="U111" s="90" t="s">
        <v>475</v>
      </c>
      <c r="V111" s="90" t="s">
        <v>102</v>
      </c>
      <c r="W111" s="90" t="s">
        <v>102</v>
      </c>
      <c r="X111" s="90" t="s">
        <v>102</v>
      </c>
      <c r="Y111" s="90" t="s">
        <v>102</v>
      </c>
      <c r="Z111" s="90" t="s">
        <v>102</v>
      </c>
      <c r="AA111" s="90" t="s">
        <v>102</v>
      </c>
    </row>
    <row r="112" spans="1:27" ht="15" x14ac:dyDescent="0.25">
      <c r="A112" s="88" t="s">
        <v>460</v>
      </c>
      <c r="B112" s="88" t="s">
        <v>154</v>
      </c>
      <c r="C112" s="88" t="s">
        <v>170</v>
      </c>
      <c r="D112" s="90" t="s">
        <v>102</v>
      </c>
      <c r="E112" s="90" t="s">
        <v>193</v>
      </c>
      <c r="F112" s="90" t="s">
        <v>102</v>
      </c>
      <c r="G112" s="90" t="s">
        <v>146</v>
      </c>
      <c r="H112" s="90" t="s">
        <v>229</v>
      </c>
      <c r="I112" s="90" t="s">
        <v>338</v>
      </c>
      <c r="J112" s="90" t="s">
        <v>115</v>
      </c>
      <c r="K112" s="90" t="s">
        <v>413</v>
      </c>
      <c r="L112" s="90" t="s">
        <v>103</v>
      </c>
      <c r="M112" s="90" t="s">
        <v>102</v>
      </c>
      <c r="N112" s="90" t="s">
        <v>247</v>
      </c>
      <c r="O112" s="90" t="s">
        <v>112</v>
      </c>
      <c r="P112" s="90" t="s">
        <v>102</v>
      </c>
      <c r="Q112" s="90" t="s">
        <v>102</v>
      </c>
      <c r="R112" s="90" t="s">
        <v>150</v>
      </c>
      <c r="S112" s="90" t="s">
        <v>476</v>
      </c>
      <c r="T112" s="90" t="s">
        <v>102</v>
      </c>
      <c r="U112" s="90" t="s">
        <v>102</v>
      </c>
      <c r="V112" s="90" t="s">
        <v>102</v>
      </c>
      <c r="W112" s="90" t="s">
        <v>102</v>
      </c>
      <c r="X112" s="90" t="s">
        <v>102</v>
      </c>
      <c r="Y112" s="90" t="s">
        <v>102</v>
      </c>
      <c r="Z112" s="90" t="s">
        <v>102</v>
      </c>
      <c r="AA112" s="90" t="s">
        <v>102</v>
      </c>
    </row>
    <row r="113" spans="1:27" ht="15" x14ac:dyDescent="0.25">
      <c r="A113" s="88" t="s">
        <v>477</v>
      </c>
      <c r="B113" s="88" t="s">
        <v>162</v>
      </c>
      <c r="C113" s="88" t="s">
        <v>101</v>
      </c>
      <c r="D113" s="90" t="s">
        <v>186</v>
      </c>
      <c r="E113" s="90" t="s">
        <v>102</v>
      </c>
      <c r="F113" s="90" t="s">
        <v>186</v>
      </c>
      <c r="G113" s="90" t="s">
        <v>102</v>
      </c>
      <c r="H113" s="90" t="s">
        <v>113</v>
      </c>
      <c r="I113" s="90" t="s">
        <v>102</v>
      </c>
      <c r="J113" s="90" t="s">
        <v>338</v>
      </c>
      <c r="K113" s="90" t="s">
        <v>338</v>
      </c>
      <c r="L113" s="90" t="s">
        <v>239</v>
      </c>
      <c r="M113" s="90" t="s">
        <v>102</v>
      </c>
      <c r="N113" s="90" t="s">
        <v>102</v>
      </c>
      <c r="O113" s="90" t="s">
        <v>102</v>
      </c>
      <c r="P113" s="90" t="s">
        <v>102</v>
      </c>
      <c r="Q113" s="90" t="s">
        <v>102</v>
      </c>
      <c r="R113" s="90" t="s">
        <v>102</v>
      </c>
      <c r="S113" s="90" t="s">
        <v>102</v>
      </c>
      <c r="T113" s="90" t="s">
        <v>102</v>
      </c>
      <c r="U113" s="90" t="s">
        <v>102</v>
      </c>
      <c r="V113" s="90" t="s">
        <v>102</v>
      </c>
      <c r="W113" s="90" t="s">
        <v>102</v>
      </c>
      <c r="X113" s="90" t="s">
        <v>102</v>
      </c>
      <c r="Y113" s="90" t="s">
        <v>102</v>
      </c>
      <c r="Z113" s="90" t="s">
        <v>102</v>
      </c>
      <c r="AA113" s="90" t="s">
        <v>102</v>
      </c>
    </row>
    <row r="114" spans="1:27" ht="15" x14ac:dyDescent="0.25">
      <c r="A114" s="88" t="s">
        <v>478</v>
      </c>
      <c r="B114" s="88" t="s">
        <v>169</v>
      </c>
      <c r="C114" s="88" t="s">
        <v>479</v>
      </c>
      <c r="D114" s="90" t="s">
        <v>102</v>
      </c>
      <c r="E114" s="90" t="s">
        <v>102</v>
      </c>
      <c r="F114" s="90" t="s">
        <v>480</v>
      </c>
      <c r="G114" s="90" t="s">
        <v>102</v>
      </c>
      <c r="H114" s="90" t="s">
        <v>481</v>
      </c>
      <c r="I114" s="90" t="s">
        <v>102</v>
      </c>
      <c r="J114" s="90" t="s">
        <v>482</v>
      </c>
      <c r="K114" s="90" t="s">
        <v>102</v>
      </c>
      <c r="L114" s="90" t="s">
        <v>102</v>
      </c>
      <c r="M114" s="90" t="s">
        <v>102</v>
      </c>
      <c r="N114" s="90" t="s">
        <v>102</v>
      </c>
      <c r="O114" s="90" t="s">
        <v>102</v>
      </c>
      <c r="P114" s="90" t="s">
        <v>483</v>
      </c>
      <c r="Q114" s="90" t="s">
        <v>483</v>
      </c>
      <c r="R114" s="90" t="s">
        <v>102</v>
      </c>
      <c r="S114" s="90" t="s">
        <v>279</v>
      </c>
      <c r="T114" s="90" t="s">
        <v>102</v>
      </c>
      <c r="U114" s="90" t="s">
        <v>482</v>
      </c>
      <c r="V114" s="90" t="s">
        <v>102</v>
      </c>
      <c r="W114" s="90" t="s">
        <v>102</v>
      </c>
      <c r="X114" s="90" t="s">
        <v>102</v>
      </c>
      <c r="Y114" s="90" t="s">
        <v>102</v>
      </c>
      <c r="Z114" s="90" t="s">
        <v>102</v>
      </c>
      <c r="AA114" s="90" t="s">
        <v>102</v>
      </c>
    </row>
    <row r="115" spans="1:27" ht="15" x14ac:dyDescent="0.25">
      <c r="A115" s="88" t="s">
        <v>484</v>
      </c>
      <c r="B115" s="88" t="s">
        <v>154</v>
      </c>
      <c r="C115" s="88" t="s">
        <v>485</v>
      </c>
      <c r="D115" s="90" t="s">
        <v>102</v>
      </c>
      <c r="E115" s="90" t="s">
        <v>486</v>
      </c>
      <c r="F115" s="90" t="s">
        <v>487</v>
      </c>
      <c r="G115" s="90" t="s">
        <v>488</v>
      </c>
      <c r="H115" s="90" t="s">
        <v>488</v>
      </c>
      <c r="I115" s="90" t="s">
        <v>185</v>
      </c>
      <c r="J115" s="90" t="s">
        <v>185</v>
      </c>
      <c r="K115" s="90" t="s">
        <v>391</v>
      </c>
      <c r="L115" s="90" t="s">
        <v>132</v>
      </c>
      <c r="M115" s="90" t="s">
        <v>102</v>
      </c>
      <c r="N115" s="90" t="s">
        <v>102</v>
      </c>
      <c r="O115" s="90" t="s">
        <v>102</v>
      </c>
      <c r="P115" s="90" t="s">
        <v>489</v>
      </c>
      <c r="Q115" s="90" t="s">
        <v>391</v>
      </c>
      <c r="R115" s="90" t="s">
        <v>388</v>
      </c>
      <c r="S115" s="90" t="s">
        <v>490</v>
      </c>
      <c r="T115" s="90" t="s">
        <v>102</v>
      </c>
      <c r="U115" s="90" t="s">
        <v>388</v>
      </c>
      <c r="V115" s="90" t="s">
        <v>102</v>
      </c>
      <c r="W115" s="90" t="s">
        <v>102</v>
      </c>
      <c r="X115" s="90" t="s">
        <v>102</v>
      </c>
      <c r="Y115" s="90" t="s">
        <v>102</v>
      </c>
      <c r="Z115" s="90" t="s">
        <v>102</v>
      </c>
      <c r="AA115" s="90" t="s">
        <v>102</v>
      </c>
    </row>
    <row r="116" spans="1:27" ht="15" x14ac:dyDescent="0.25">
      <c r="A116" s="88" t="s">
        <v>491</v>
      </c>
      <c r="B116" s="88" t="s">
        <v>335</v>
      </c>
      <c r="C116" s="88" t="s">
        <v>492</v>
      </c>
      <c r="D116" s="90" t="s">
        <v>102</v>
      </c>
      <c r="E116" s="90" t="s">
        <v>102</v>
      </c>
      <c r="F116" s="90" t="s">
        <v>102</v>
      </c>
      <c r="G116" s="90" t="s">
        <v>102</v>
      </c>
      <c r="H116" s="90" t="s">
        <v>102</v>
      </c>
      <c r="I116" s="90" t="s">
        <v>102</v>
      </c>
      <c r="J116" s="90" t="s">
        <v>401</v>
      </c>
      <c r="K116" s="90" t="s">
        <v>152</v>
      </c>
      <c r="L116" s="90" t="s">
        <v>102</v>
      </c>
      <c r="M116" s="90" t="s">
        <v>102</v>
      </c>
      <c r="N116" s="90" t="s">
        <v>102</v>
      </c>
      <c r="O116" s="90" t="s">
        <v>102</v>
      </c>
      <c r="P116" s="90" t="s">
        <v>102</v>
      </c>
      <c r="Q116" s="90" t="s">
        <v>247</v>
      </c>
      <c r="R116" s="90" t="s">
        <v>102</v>
      </c>
      <c r="S116" s="90" t="s">
        <v>102</v>
      </c>
      <c r="T116" s="90" t="s">
        <v>102</v>
      </c>
      <c r="U116" s="90" t="s">
        <v>102</v>
      </c>
      <c r="V116" s="90" t="s">
        <v>102</v>
      </c>
      <c r="W116" s="90" t="s">
        <v>102</v>
      </c>
      <c r="X116" s="90" t="s">
        <v>102</v>
      </c>
      <c r="Y116" s="90" t="s">
        <v>102</v>
      </c>
      <c r="Z116" s="90" t="s">
        <v>102</v>
      </c>
      <c r="AA116" s="90" t="s">
        <v>102</v>
      </c>
    </row>
    <row r="117" spans="1:27" ht="15" x14ac:dyDescent="0.25">
      <c r="A117" s="88" t="s">
        <v>491</v>
      </c>
      <c r="B117" s="88" t="s">
        <v>176</v>
      </c>
      <c r="C117" s="88" t="s">
        <v>492</v>
      </c>
      <c r="D117" s="90" t="s">
        <v>493</v>
      </c>
      <c r="E117" s="90" t="s">
        <v>102</v>
      </c>
      <c r="F117" s="90" t="s">
        <v>493</v>
      </c>
      <c r="G117" s="90" t="s">
        <v>102</v>
      </c>
      <c r="H117" s="90" t="s">
        <v>494</v>
      </c>
      <c r="I117" s="90" t="s">
        <v>102</v>
      </c>
      <c r="J117" s="90" t="s">
        <v>102</v>
      </c>
      <c r="K117" s="90" t="s">
        <v>495</v>
      </c>
      <c r="L117" s="90" t="s">
        <v>496</v>
      </c>
      <c r="M117" s="90" t="s">
        <v>102</v>
      </c>
      <c r="N117" s="90" t="s">
        <v>102</v>
      </c>
      <c r="O117" s="90" t="s">
        <v>102</v>
      </c>
      <c r="P117" s="90" t="s">
        <v>497</v>
      </c>
      <c r="Q117" s="90" t="s">
        <v>102</v>
      </c>
      <c r="R117" s="90" t="s">
        <v>102</v>
      </c>
      <c r="S117" s="90" t="s">
        <v>102</v>
      </c>
      <c r="T117" s="90" t="s">
        <v>102</v>
      </c>
      <c r="U117" s="90" t="s">
        <v>102</v>
      </c>
      <c r="V117" s="90" t="s">
        <v>102</v>
      </c>
      <c r="W117" s="90" t="s">
        <v>102</v>
      </c>
      <c r="X117" s="90" t="s">
        <v>102</v>
      </c>
      <c r="Y117" s="90" t="s">
        <v>102</v>
      </c>
      <c r="Z117" s="90" t="s">
        <v>102</v>
      </c>
      <c r="AA117" s="90" t="s">
        <v>102</v>
      </c>
    </row>
    <row r="118" spans="1:27" ht="15" x14ac:dyDescent="0.25">
      <c r="A118" s="88" t="s">
        <v>498</v>
      </c>
      <c r="B118" s="88" t="s">
        <v>162</v>
      </c>
      <c r="C118" s="88" t="s">
        <v>170</v>
      </c>
      <c r="D118" s="90" t="s">
        <v>229</v>
      </c>
      <c r="E118" s="90" t="s">
        <v>102</v>
      </c>
      <c r="F118" s="90" t="s">
        <v>229</v>
      </c>
      <c r="G118" s="90" t="s">
        <v>102</v>
      </c>
      <c r="H118" s="90" t="s">
        <v>280</v>
      </c>
      <c r="I118" s="90" t="s">
        <v>102</v>
      </c>
      <c r="J118" s="90" t="s">
        <v>119</v>
      </c>
      <c r="K118" s="90" t="s">
        <v>119</v>
      </c>
      <c r="L118" s="90" t="s">
        <v>281</v>
      </c>
      <c r="M118" s="90" t="s">
        <v>102</v>
      </c>
      <c r="N118" s="90" t="s">
        <v>102</v>
      </c>
      <c r="O118" s="90" t="s">
        <v>102</v>
      </c>
      <c r="P118" s="90" t="s">
        <v>102</v>
      </c>
      <c r="Q118" s="90" t="s">
        <v>102</v>
      </c>
      <c r="R118" s="90" t="s">
        <v>102</v>
      </c>
      <c r="S118" s="90" t="s">
        <v>102</v>
      </c>
      <c r="T118" s="90" t="s">
        <v>102</v>
      </c>
      <c r="U118" s="90" t="s">
        <v>102</v>
      </c>
      <c r="V118" s="90" t="s">
        <v>102</v>
      </c>
      <c r="W118" s="90" t="s">
        <v>102</v>
      </c>
      <c r="X118" s="90" t="s">
        <v>102</v>
      </c>
      <c r="Y118" s="90" t="s">
        <v>102</v>
      </c>
      <c r="Z118" s="90" t="s">
        <v>102</v>
      </c>
      <c r="AA118" s="90" t="s">
        <v>102</v>
      </c>
    </row>
    <row r="119" spans="1:27" ht="15" x14ac:dyDescent="0.25">
      <c r="A119" s="88" t="s">
        <v>498</v>
      </c>
      <c r="B119" s="88" t="s">
        <v>169</v>
      </c>
      <c r="C119" s="88" t="s">
        <v>170</v>
      </c>
      <c r="D119" s="90" t="s">
        <v>102</v>
      </c>
      <c r="E119" s="90" t="s">
        <v>336</v>
      </c>
      <c r="F119" s="90" t="s">
        <v>336</v>
      </c>
      <c r="G119" s="90" t="s">
        <v>499</v>
      </c>
      <c r="H119" s="90" t="s">
        <v>499</v>
      </c>
      <c r="I119" s="90" t="s">
        <v>337</v>
      </c>
      <c r="J119" s="90" t="s">
        <v>337</v>
      </c>
      <c r="K119" s="90" t="s">
        <v>119</v>
      </c>
      <c r="L119" s="90" t="s">
        <v>102</v>
      </c>
      <c r="M119" s="90" t="s">
        <v>102</v>
      </c>
      <c r="N119" s="90" t="s">
        <v>102</v>
      </c>
      <c r="O119" s="90" t="s">
        <v>499</v>
      </c>
      <c r="P119" s="90" t="s">
        <v>150</v>
      </c>
      <c r="Q119" s="90" t="s">
        <v>102</v>
      </c>
      <c r="R119" s="90" t="s">
        <v>102</v>
      </c>
      <c r="S119" s="90" t="s">
        <v>102</v>
      </c>
      <c r="T119" s="90" t="s">
        <v>102</v>
      </c>
      <c r="U119" s="90" t="s">
        <v>102</v>
      </c>
      <c r="V119" s="90" t="s">
        <v>102</v>
      </c>
      <c r="W119" s="90" t="s">
        <v>125</v>
      </c>
      <c r="X119" s="90" t="s">
        <v>102</v>
      </c>
      <c r="Y119" s="90" t="s">
        <v>102</v>
      </c>
      <c r="Z119" s="90" t="s">
        <v>102</v>
      </c>
      <c r="AA119" s="90" t="s">
        <v>102</v>
      </c>
    </row>
    <row r="120" spans="1:27" ht="15" x14ac:dyDescent="0.25">
      <c r="A120" s="88" t="s">
        <v>498</v>
      </c>
      <c r="B120" s="88" t="s">
        <v>176</v>
      </c>
      <c r="C120" s="88" t="s">
        <v>170</v>
      </c>
      <c r="D120" s="90" t="s">
        <v>500</v>
      </c>
      <c r="E120" s="90" t="s">
        <v>102</v>
      </c>
      <c r="F120" s="90" t="s">
        <v>500</v>
      </c>
      <c r="G120" s="90" t="s">
        <v>102</v>
      </c>
      <c r="H120" s="90" t="s">
        <v>501</v>
      </c>
      <c r="I120" s="90" t="s">
        <v>102</v>
      </c>
      <c r="J120" s="90" t="s">
        <v>502</v>
      </c>
      <c r="K120" s="90" t="s">
        <v>502</v>
      </c>
      <c r="L120" s="90" t="s">
        <v>102</v>
      </c>
      <c r="M120" s="90" t="s">
        <v>102</v>
      </c>
      <c r="N120" s="90" t="s">
        <v>102</v>
      </c>
      <c r="O120" s="90" t="s">
        <v>102</v>
      </c>
      <c r="P120" s="90" t="s">
        <v>503</v>
      </c>
      <c r="Q120" s="90" t="s">
        <v>102</v>
      </c>
      <c r="R120" s="90" t="s">
        <v>102</v>
      </c>
      <c r="S120" s="90" t="s">
        <v>102</v>
      </c>
      <c r="T120" s="90" t="s">
        <v>102</v>
      </c>
      <c r="U120" s="90" t="s">
        <v>503</v>
      </c>
      <c r="V120" s="90" t="s">
        <v>102</v>
      </c>
      <c r="W120" s="90" t="s">
        <v>102</v>
      </c>
      <c r="X120" s="90" t="s">
        <v>102</v>
      </c>
      <c r="Y120" s="90" t="s">
        <v>102</v>
      </c>
      <c r="Z120" s="90" t="s">
        <v>102</v>
      </c>
      <c r="AA120" s="90" t="s">
        <v>102</v>
      </c>
    </row>
    <row r="121" spans="1:27" ht="15" x14ac:dyDescent="0.25">
      <c r="A121" s="88" t="s">
        <v>504</v>
      </c>
      <c r="B121" s="88" t="s">
        <v>278</v>
      </c>
      <c r="C121" s="88" t="s">
        <v>170</v>
      </c>
      <c r="D121" s="90" t="s">
        <v>229</v>
      </c>
      <c r="E121" s="90" t="s">
        <v>102</v>
      </c>
      <c r="F121" s="90" t="s">
        <v>229</v>
      </c>
      <c r="G121" s="90" t="s">
        <v>102</v>
      </c>
      <c r="H121" s="90" t="s">
        <v>280</v>
      </c>
      <c r="I121" s="90" t="s">
        <v>102</v>
      </c>
      <c r="J121" s="90" t="s">
        <v>119</v>
      </c>
      <c r="K121" s="90" t="s">
        <v>119</v>
      </c>
      <c r="L121" s="90" t="s">
        <v>281</v>
      </c>
      <c r="M121" s="90" t="s">
        <v>102</v>
      </c>
      <c r="N121" s="90" t="s">
        <v>102</v>
      </c>
      <c r="O121" s="90" t="s">
        <v>102</v>
      </c>
      <c r="P121" s="90" t="s">
        <v>102</v>
      </c>
      <c r="Q121" s="90" t="s">
        <v>102</v>
      </c>
      <c r="R121" s="90" t="s">
        <v>102</v>
      </c>
      <c r="S121" s="90" t="s">
        <v>102</v>
      </c>
      <c r="T121" s="90" t="s">
        <v>102</v>
      </c>
      <c r="U121" s="90" t="s">
        <v>102</v>
      </c>
      <c r="V121" s="90" t="s">
        <v>102</v>
      </c>
      <c r="W121" s="90" t="s">
        <v>102</v>
      </c>
      <c r="X121" s="90" t="s">
        <v>102</v>
      </c>
      <c r="Y121" s="90" t="s">
        <v>102</v>
      </c>
      <c r="Z121" s="90" t="s">
        <v>102</v>
      </c>
      <c r="AA121" s="90" t="s">
        <v>102</v>
      </c>
    </row>
    <row r="122" spans="1:27" ht="15" x14ac:dyDescent="0.25">
      <c r="A122" s="88" t="s">
        <v>504</v>
      </c>
      <c r="B122" s="88" t="s">
        <v>169</v>
      </c>
      <c r="C122" s="88" t="s">
        <v>170</v>
      </c>
      <c r="D122" s="90" t="s">
        <v>102</v>
      </c>
      <c r="E122" s="90" t="s">
        <v>102</v>
      </c>
      <c r="F122" s="90" t="s">
        <v>489</v>
      </c>
      <c r="G122" s="90" t="s">
        <v>102</v>
      </c>
      <c r="H122" s="90" t="s">
        <v>186</v>
      </c>
      <c r="I122" s="90" t="s">
        <v>279</v>
      </c>
      <c r="J122" s="90" t="s">
        <v>115</v>
      </c>
      <c r="K122" s="90" t="s">
        <v>133</v>
      </c>
      <c r="L122" s="90" t="s">
        <v>395</v>
      </c>
      <c r="M122" s="90" t="s">
        <v>505</v>
      </c>
      <c r="N122" s="90" t="s">
        <v>102</v>
      </c>
      <c r="O122" s="90" t="s">
        <v>102</v>
      </c>
      <c r="P122" s="90" t="s">
        <v>152</v>
      </c>
      <c r="Q122" s="90" t="s">
        <v>102</v>
      </c>
      <c r="R122" s="90" t="s">
        <v>102</v>
      </c>
      <c r="S122" s="90" t="s">
        <v>102</v>
      </c>
      <c r="T122" s="90" t="s">
        <v>102</v>
      </c>
      <c r="U122" s="90" t="s">
        <v>102</v>
      </c>
      <c r="V122" s="90" t="s">
        <v>102</v>
      </c>
      <c r="W122" s="90" t="s">
        <v>102</v>
      </c>
      <c r="X122" s="90" t="s">
        <v>102</v>
      </c>
      <c r="Y122" s="90" t="s">
        <v>102</v>
      </c>
      <c r="Z122" s="90" t="s">
        <v>102</v>
      </c>
      <c r="AA122" s="90" t="s">
        <v>102</v>
      </c>
    </row>
    <row r="123" spans="1:27" ht="15" x14ac:dyDescent="0.25">
      <c r="A123" s="88" t="s">
        <v>504</v>
      </c>
      <c r="B123" s="88" t="s">
        <v>176</v>
      </c>
      <c r="C123" s="88" t="s">
        <v>170</v>
      </c>
      <c r="D123" s="90" t="s">
        <v>506</v>
      </c>
      <c r="E123" s="90" t="s">
        <v>102</v>
      </c>
      <c r="F123" s="90" t="s">
        <v>506</v>
      </c>
      <c r="G123" s="90" t="s">
        <v>102</v>
      </c>
      <c r="H123" s="90" t="s">
        <v>337</v>
      </c>
      <c r="I123" s="90" t="s">
        <v>102</v>
      </c>
      <c r="J123" s="90" t="s">
        <v>188</v>
      </c>
      <c r="K123" s="90" t="s">
        <v>188</v>
      </c>
      <c r="L123" s="90" t="s">
        <v>507</v>
      </c>
      <c r="M123" s="90" t="s">
        <v>102</v>
      </c>
      <c r="N123" s="90" t="s">
        <v>102</v>
      </c>
      <c r="O123" s="90" t="s">
        <v>102</v>
      </c>
      <c r="P123" s="90" t="s">
        <v>102</v>
      </c>
      <c r="Q123" s="90" t="s">
        <v>102</v>
      </c>
      <c r="R123" s="90" t="s">
        <v>102</v>
      </c>
      <c r="S123" s="90" t="s">
        <v>102</v>
      </c>
      <c r="T123" s="90" t="s">
        <v>102</v>
      </c>
      <c r="U123" s="90" t="s">
        <v>102</v>
      </c>
      <c r="V123" s="90" t="s">
        <v>102</v>
      </c>
      <c r="W123" s="90" t="s">
        <v>102</v>
      </c>
      <c r="X123" s="90" t="s">
        <v>102</v>
      </c>
      <c r="Y123" s="90" t="s">
        <v>102</v>
      </c>
      <c r="Z123" s="90" t="s">
        <v>102</v>
      </c>
      <c r="AA123" s="90" t="s">
        <v>102</v>
      </c>
    </row>
    <row r="124" spans="1:27" ht="15" x14ac:dyDescent="0.25">
      <c r="A124" s="88" t="s">
        <v>508</v>
      </c>
      <c r="B124" s="88" t="s">
        <v>169</v>
      </c>
      <c r="C124" s="88" t="s">
        <v>170</v>
      </c>
      <c r="D124" s="90" t="s">
        <v>102</v>
      </c>
      <c r="E124" s="90" t="s">
        <v>102</v>
      </c>
      <c r="F124" s="90" t="s">
        <v>102</v>
      </c>
      <c r="G124" s="90" t="s">
        <v>509</v>
      </c>
      <c r="H124" s="90" t="s">
        <v>509</v>
      </c>
      <c r="I124" s="90" t="s">
        <v>225</v>
      </c>
      <c r="J124" s="90" t="s">
        <v>225</v>
      </c>
      <c r="K124" s="90" t="s">
        <v>102</v>
      </c>
      <c r="L124" s="90" t="s">
        <v>102</v>
      </c>
      <c r="M124" s="90" t="s">
        <v>510</v>
      </c>
      <c r="N124" s="90" t="s">
        <v>511</v>
      </c>
      <c r="O124" s="90" t="s">
        <v>102</v>
      </c>
      <c r="P124" s="90" t="s">
        <v>102</v>
      </c>
      <c r="Q124" s="90" t="s">
        <v>102</v>
      </c>
      <c r="R124" s="90" t="s">
        <v>102</v>
      </c>
      <c r="S124" s="90" t="s">
        <v>102</v>
      </c>
      <c r="T124" s="90" t="s">
        <v>102</v>
      </c>
      <c r="U124" s="90" t="s">
        <v>102</v>
      </c>
      <c r="V124" s="90" t="s">
        <v>102</v>
      </c>
      <c r="W124" s="90" t="s">
        <v>102</v>
      </c>
      <c r="X124" s="90" t="s">
        <v>102</v>
      </c>
      <c r="Y124" s="90" t="s">
        <v>102</v>
      </c>
      <c r="Z124" s="90" t="s">
        <v>102</v>
      </c>
      <c r="AA124" s="90" t="s">
        <v>102</v>
      </c>
    </row>
    <row r="125" spans="1:27" ht="15" x14ac:dyDescent="0.25">
      <c r="A125" s="88" t="s">
        <v>508</v>
      </c>
      <c r="B125" s="88" t="s">
        <v>176</v>
      </c>
      <c r="C125" s="88" t="s">
        <v>170</v>
      </c>
      <c r="D125" s="90" t="s">
        <v>224</v>
      </c>
      <c r="E125" s="90" t="s">
        <v>102</v>
      </c>
      <c r="F125" s="90" t="s">
        <v>224</v>
      </c>
      <c r="G125" s="90" t="s">
        <v>102</v>
      </c>
      <c r="H125" s="90" t="s">
        <v>225</v>
      </c>
      <c r="I125" s="90" t="s">
        <v>102</v>
      </c>
      <c r="J125" s="90" t="s">
        <v>225</v>
      </c>
      <c r="K125" s="90" t="s">
        <v>225</v>
      </c>
      <c r="L125" s="90" t="s">
        <v>226</v>
      </c>
      <c r="M125" s="90" t="s">
        <v>102</v>
      </c>
      <c r="N125" s="90" t="s">
        <v>102</v>
      </c>
      <c r="O125" s="90" t="s">
        <v>102</v>
      </c>
      <c r="P125" s="90" t="s">
        <v>102</v>
      </c>
      <c r="Q125" s="90" t="s">
        <v>102</v>
      </c>
      <c r="R125" s="90" t="s">
        <v>102</v>
      </c>
      <c r="S125" s="90" t="s">
        <v>102</v>
      </c>
      <c r="T125" s="90" t="s">
        <v>102</v>
      </c>
      <c r="U125" s="90" t="s">
        <v>227</v>
      </c>
      <c r="V125" s="90" t="s">
        <v>102</v>
      </c>
      <c r="W125" s="90" t="s">
        <v>102</v>
      </c>
      <c r="X125" s="90" t="s">
        <v>102</v>
      </c>
      <c r="Y125" s="90" t="s">
        <v>102</v>
      </c>
      <c r="Z125" s="90" t="s">
        <v>102</v>
      </c>
      <c r="AA125" s="90" t="s">
        <v>102</v>
      </c>
    </row>
    <row r="126" spans="1:27" ht="15" x14ac:dyDescent="0.25">
      <c r="A126" s="88" t="s">
        <v>508</v>
      </c>
      <c r="B126" s="88" t="s">
        <v>154</v>
      </c>
      <c r="C126" s="88" t="s">
        <v>170</v>
      </c>
      <c r="D126" s="90" t="s">
        <v>102</v>
      </c>
      <c r="E126" s="90" t="s">
        <v>367</v>
      </c>
      <c r="F126" s="90" t="s">
        <v>102</v>
      </c>
      <c r="G126" s="90" t="s">
        <v>391</v>
      </c>
      <c r="H126" s="90" t="s">
        <v>102</v>
      </c>
      <c r="I126" s="90" t="s">
        <v>380</v>
      </c>
      <c r="J126" s="90" t="s">
        <v>102</v>
      </c>
      <c r="K126" s="90" t="s">
        <v>102</v>
      </c>
      <c r="L126" s="90" t="s">
        <v>126</v>
      </c>
      <c r="M126" s="90" t="s">
        <v>102</v>
      </c>
      <c r="N126" s="90" t="s">
        <v>102</v>
      </c>
      <c r="O126" s="90" t="s">
        <v>102</v>
      </c>
      <c r="P126" s="90" t="s">
        <v>102</v>
      </c>
      <c r="Q126" s="90" t="s">
        <v>102</v>
      </c>
      <c r="R126" s="90" t="s">
        <v>102</v>
      </c>
      <c r="S126" s="90" t="s">
        <v>102</v>
      </c>
      <c r="T126" s="90" t="s">
        <v>102</v>
      </c>
      <c r="U126" s="90" t="s">
        <v>113</v>
      </c>
      <c r="V126" s="90" t="s">
        <v>102</v>
      </c>
      <c r="W126" s="90" t="s">
        <v>102</v>
      </c>
      <c r="X126" s="90" t="s">
        <v>102</v>
      </c>
      <c r="Y126" s="90" t="s">
        <v>102</v>
      </c>
      <c r="Z126" s="90" t="s">
        <v>102</v>
      </c>
      <c r="AA126" s="90" t="s">
        <v>102</v>
      </c>
    </row>
    <row r="127" spans="1:27" ht="15" x14ac:dyDescent="0.25">
      <c r="A127" s="88" t="s">
        <v>512</v>
      </c>
      <c r="B127" s="88" t="s">
        <v>162</v>
      </c>
      <c r="C127" s="88" t="s">
        <v>170</v>
      </c>
      <c r="D127" s="90" t="s">
        <v>229</v>
      </c>
      <c r="E127" s="90" t="s">
        <v>102</v>
      </c>
      <c r="F127" s="90" t="s">
        <v>229</v>
      </c>
      <c r="G127" s="90" t="s">
        <v>102</v>
      </c>
      <c r="H127" s="90" t="s">
        <v>280</v>
      </c>
      <c r="I127" s="90" t="s">
        <v>102</v>
      </c>
      <c r="J127" s="90" t="s">
        <v>119</v>
      </c>
      <c r="K127" s="90" t="s">
        <v>119</v>
      </c>
      <c r="L127" s="90" t="s">
        <v>281</v>
      </c>
      <c r="M127" s="90" t="s">
        <v>102</v>
      </c>
      <c r="N127" s="90" t="s">
        <v>102</v>
      </c>
      <c r="O127" s="90" t="s">
        <v>102</v>
      </c>
      <c r="P127" s="90" t="s">
        <v>102</v>
      </c>
      <c r="Q127" s="90" t="s">
        <v>102</v>
      </c>
      <c r="R127" s="90" t="s">
        <v>102</v>
      </c>
      <c r="S127" s="90" t="s">
        <v>102</v>
      </c>
      <c r="T127" s="90" t="s">
        <v>102</v>
      </c>
      <c r="U127" s="90" t="s">
        <v>102</v>
      </c>
      <c r="V127" s="90" t="s">
        <v>102</v>
      </c>
      <c r="W127" s="90" t="s">
        <v>102</v>
      </c>
      <c r="X127" s="90" t="s">
        <v>102</v>
      </c>
      <c r="Y127" s="90" t="s">
        <v>102</v>
      </c>
      <c r="Z127" s="90" t="s">
        <v>102</v>
      </c>
      <c r="AA127" s="90" t="s">
        <v>102</v>
      </c>
    </row>
    <row r="128" spans="1:27" ht="15" x14ac:dyDescent="0.25">
      <c r="A128" s="88" t="s">
        <v>513</v>
      </c>
      <c r="B128" s="88" t="s">
        <v>162</v>
      </c>
      <c r="C128" s="88" t="s">
        <v>101</v>
      </c>
      <c r="D128" s="90" t="s">
        <v>280</v>
      </c>
      <c r="E128" s="90" t="s">
        <v>102</v>
      </c>
      <c r="F128" s="90" t="s">
        <v>280</v>
      </c>
      <c r="G128" s="90" t="s">
        <v>102</v>
      </c>
      <c r="H128" s="90" t="s">
        <v>337</v>
      </c>
      <c r="I128" s="90" t="s">
        <v>102</v>
      </c>
      <c r="J128" s="90" t="s">
        <v>119</v>
      </c>
      <c r="K128" s="90" t="s">
        <v>119</v>
      </c>
      <c r="L128" s="90" t="s">
        <v>209</v>
      </c>
      <c r="M128" s="90" t="s">
        <v>102</v>
      </c>
      <c r="N128" s="90" t="s">
        <v>102</v>
      </c>
      <c r="O128" s="90" t="s">
        <v>102</v>
      </c>
      <c r="P128" s="90" t="s">
        <v>102</v>
      </c>
      <c r="Q128" s="90" t="s">
        <v>102</v>
      </c>
      <c r="R128" s="90" t="s">
        <v>102</v>
      </c>
      <c r="S128" s="90" t="s">
        <v>102</v>
      </c>
      <c r="T128" s="90" t="s">
        <v>102</v>
      </c>
      <c r="U128" s="90" t="s">
        <v>102</v>
      </c>
      <c r="V128" s="90" t="s">
        <v>102</v>
      </c>
      <c r="W128" s="90" t="s">
        <v>102</v>
      </c>
      <c r="X128" s="90" t="s">
        <v>102</v>
      </c>
      <c r="Y128" s="90" t="s">
        <v>102</v>
      </c>
      <c r="Z128" s="90" t="s">
        <v>102</v>
      </c>
      <c r="AA128" s="90" t="s">
        <v>102</v>
      </c>
    </row>
    <row r="129" spans="1:27" ht="15" x14ac:dyDescent="0.25">
      <c r="A129" s="88" t="s">
        <v>514</v>
      </c>
      <c r="B129" s="88" t="s">
        <v>169</v>
      </c>
      <c r="C129" s="88" t="s">
        <v>170</v>
      </c>
      <c r="D129" s="90" t="s">
        <v>239</v>
      </c>
      <c r="E129" s="90" t="s">
        <v>138</v>
      </c>
      <c r="F129" s="90" t="s">
        <v>138</v>
      </c>
      <c r="G129" s="90" t="s">
        <v>195</v>
      </c>
      <c r="H129" s="90" t="s">
        <v>195</v>
      </c>
      <c r="I129" s="90" t="s">
        <v>515</v>
      </c>
      <c r="J129" s="90" t="s">
        <v>515</v>
      </c>
      <c r="K129" s="90" t="s">
        <v>516</v>
      </c>
      <c r="L129" s="90" t="s">
        <v>102</v>
      </c>
      <c r="M129" s="90" t="s">
        <v>515</v>
      </c>
      <c r="N129" s="90" t="s">
        <v>108</v>
      </c>
      <c r="O129" s="90" t="s">
        <v>102</v>
      </c>
      <c r="P129" s="90" t="s">
        <v>102</v>
      </c>
      <c r="Q129" s="90" t="s">
        <v>102</v>
      </c>
      <c r="R129" s="90" t="s">
        <v>102</v>
      </c>
      <c r="S129" s="90" t="s">
        <v>102</v>
      </c>
      <c r="T129" s="90" t="s">
        <v>102</v>
      </c>
      <c r="U129" s="90" t="s">
        <v>102</v>
      </c>
      <c r="V129" s="90" t="s">
        <v>102</v>
      </c>
      <c r="W129" s="90" t="s">
        <v>102</v>
      </c>
      <c r="X129" s="90" t="s">
        <v>102</v>
      </c>
      <c r="Y129" s="90" t="s">
        <v>102</v>
      </c>
      <c r="Z129" s="90" t="s">
        <v>102</v>
      </c>
      <c r="AA129" s="90" t="s">
        <v>102</v>
      </c>
    </row>
    <row r="130" spans="1:27" ht="15" x14ac:dyDescent="0.25">
      <c r="A130" s="88" t="s">
        <v>517</v>
      </c>
      <c r="B130" s="88" t="s">
        <v>162</v>
      </c>
      <c r="C130" s="88" t="s">
        <v>518</v>
      </c>
      <c r="D130" s="90" t="s">
        <v>519</v>
      </c>
      <c r="E130" s="90" t="s">
        <v>102</v>
      </c>
      <c r="F130" s="90" t="s">
        <v>519</v>
      </c>
      <c r="G130" s="90" t="s">
        <v>102</v>
      </c>
      <c r="H130" s="90" t="s">
        <v>520</v>
      </c>
      <c r="I130" s="90" t="s">
        <v>102</v>
      </c>
      <c r="J130" s="90" t="s">
        <v>521</v>
      </c>
      <c r="K130" s="90" t="s">
        <v>521</v>
      </c>
      <c r="L130" s="90" t="s">
        <v>522</v>
      </c>
      <c r="M130" s="90" t="s">
        <v>102</v>
      </c>
      <c r="N130" s="90" t="s">
        <v>102</v>
      </c>
      <c r="O130" s="90" t="s">
        <v>102</v>
      </c>
      <c r="P130" s="90" t="s">
        <v>102</v>
      </c>
      <c r="Q130" s="90" t="s">
        <v>102</v>
      </c>
      <c r="R130" s="90" t="s">
        <v>102</v>
      </c>
      <c r="S130" s="90" t="s">
        <v>102</v>
      </c>
      <c r="T130" s="90" t="s">
        <v>102</v>
      </c>
      <c r="U130" s="90" t="s">
        <v>102</v>
      </c>
      <c r="V130" s="90" t="s">
        <v>102</v>
      </c>
      <c r="W130" s="90" t="s">
        <v>102</v>
      </c>
      <c r="X130" s="90" t="s">
        <v>102</v>
      </c>
      <c r="Y130" s="90" t="s">
        <v>102</v>
      </c>
      <c r="Z130" s="90" t="s">
        <v>102</v>
      </c>
      <c r="AA130" s="90" t="s">
        <v>102</v>
      </c>
    </row>
    <row r="131" spans="1:27" ht="15" x14ac:dyDescent="0.25">
      <c r="A131" s="88" t="s">
        <v>517</v>
      </c>
      <c r="B131" s="88" t="s">
        <v>523</v>
      </c>
      <c r="C131" s="88" t="s">
        <v>101</v>
      </c>
      <c r="D131" s="90" t="s">
        <v>102</v>
      </c>
      <c r="E131" s="90" t="s">
        <v>524</v>
      </c>
      <c r="F131" s="90" t="s">
        <v>102</v>
      </c>
      <c r="G131" s="90" t="s">
        <v>192</v>
      </c>
      <c r="H131" s="90" t="s">
        <v>192</v>
      </c>
      <c r="I131" s="90" t="s">
        <v>336</v>
      </c>
      <c r="J131" s="90" t="s">
        <v>336</v>
      </c>
      <c r="K131" s="90" t="s">
        <v>372</v>
      </c>
      <c r="L131" s="90" t="s">
        <v>337</v>
      </c>
      <c r="M131" s="90" t="s">
        <v>102</v>
      </c>
      <c r="N131" s="90" t="s">
        <v>102</v>
      </c>
      <c r="O131" s="90" t="s">
        <v>102</v>
      </c>
      <c r="P131" s="90" t="s">
        <v>102</v>
      </c>
      <c r="Q131" s="90" t="s">
        <v>106</v>
      </c>
      <c r="R131" s="90" t="s">
        <v>102</v>
      </c>
      <c r="S131" s="90" t="s">
        <v>102</v>
      </c>
      <c r="T131" s="90" t="s">
        <v>102</v>
      </c>
      <c r="U131" s="90" t="s">
        <v>167</v>
      </c>
      <c r="V131" s="90" t="s">
        <v>102</v>
      </c>
      <c r="W131" s="90" t="s">
        <v>110</v>
      </c>
      <c r="X131" s="90" t="s">
        <v>102</v>
      </c>
      <c r="Y131" s="90" t="s">
        <v>102</v>
      </c>
      <c r="Z131" s="90" t="s">
        <v>102</v>
      </c>
      <c r="AA131" s="90" t="s">
        <v>102</v>
      </c>
    </row>
    <row r="132" spans="1:27" ht="15" x14ac:dyDescent="0.25">
      <c r="A132" s="88" t="s">
        <v>525</v>
      </c>
      <c r="B132" s="88" t="s">
        <v>154</v>
      </c>
      <c r="C132" s="88" t="s">
        <v>170</v>
      </c>
      <c r="D132" s="90" t="s">
        <v>102</v>
      </c>
      <c r="E132" s="90" t="s">
        <v>194</v>
      </c>
      <c r="F132" s="90" t="s">
        <v>102</v>
      </c>
      <c r="G132" s="90" t="s">
        <v>229</v>
      </c>
      <c r="H132" s="90" t="s">
        <v>377</v>
      </c>
      <c r="I132" s="90" t="s">
        <v>114</v>
      </c>
      <c r="J132" s="90" t="s">
        <v>195</v>
      </c>
      <c r="K132" s="90" t="s">
        <v>174</v>
      </c>
      <c r="L132" s="90" t="s">
        <v>378</v>
      </c>
      <c r="M132" s="90" t="s">
        <v>102</v>
      </c>
      <c r="N132" s="90" t="s">
        <v>102</v>
      </c>
      <c r="O132" s="90" t="s">
        <v>102</v>
      </c>
      <c r="P132" s="90" t="s">
        <v>102</v>
      </c>
      <c r="Q132" s="90" t="s">
        <v>102</v>
      </c>
      <c r="R132" s="90" t="s">
        <v>102</v>
      </c>
      <c r="S132" s="90" t="s">
        <v>102</v>
      </c>
      <c r="T132" s="90" t="s">
        <v>102</v>
      </c>
      <c r="U132" s="90" t="s">
        <v>147</v>
      </c>
      <c r="V132" s="90" t="s">
        <v>102</v>
      </c>
      <c r="W132" s="90" t="s">
        <v>102</v>
      </c>
      <c r="X132" s="90" t="s">
        <v>102</v>
      </c>
      <c r="Y132" s="90" t="s">
        <v>102</v>
      </c>
      <c r="Z132" s="90" t="s">
        <v>102</v>
      </c>
      <c r="AA132" s="90" t="s">
        <v>102</v>
      </c>
    </row>
    <row r="133" spans="1:27" ht="15" x14ac:dyDescent="0.25">
      <c r="A133" s="88" t="s">
        <v>526</v>
      </c>
      <c r="B133" s="88" t="s">
        <v>162</v>
      </c>
      <c r="C133" s="88" t="s">
        <v>527</v>
      </c>
      <c r="D133" s="90" t="s">
        <v>528</v>
      </c>
      <c r="E133" s="90" t="s">
        <v>102</v>
      </c>
      <c r="F133" s="90" t="s">
        <v>528</v>
      </c>
      <c r="G133" s="90" t="s">
        <v>102</v>
      </c>
      <c r="H133" s="90" t="s">
        <v>529</v>
      </c>
      <c r="I133" s="90" t="s">
        <v>102</v>
      </c>
      <c r="J133" s="90" t="s">
        <v>530</v>
      </c>
      <c r="K133" s="90" t="s">
        <v>530</v>
      </c>
      <c r="L133" s="90" t="s">
        <v>312</v>
      </c>
      <c r="M133" s="90" t="s">
        <v>102</v>
      </c>
      <c r="N133" s="90" t="s">
        <v>102</v>
      </c>
      <c r="O133" s="90" t="s">
        <v>102</v>
      </c>
      <c r="P133" s="90" t="s">
        <v>102</v>
      </c>
      <c r="Q133" s="90" t="s">
        <v>102</v>
      </c>
      <c r="R133" s="90" t="s">
        <v>102</v>
      </c>
      <c r="S133" s="90" t="s">
        <v>102</v>
      </c>
      <c r="T133" s="90" t="s">
        <v>102</v>
      </c>
      <c r="U133" s="90" t="s">
        <v>102</v>
      </c>
      <c r="V133" s="90" t="s">
        <v>102</v>
      </c>
      <c r="W133" s="90" t="s">
        <v>102</v>
      </c>
      <c r="X133" s="90" t="s">
        <v>102</v>
      </c>
      <c r="Y133" s="90" t="s">
        <v>102</v>
      </c>
      <c r="Z133" s="90" t="s">
        <v>102</v>
      </c>
      <c r="AA133" s="90" t="s">
        <v>102</v>
      </c>
    </row>
    <row r="134" spans="1:27" ht="15" x14ac:dyDescent="0.25">
      <c r="A134" s="88" t="s">
        <v>531</v>
      </c>
      <c r="B134" s="88" t="s">
        <v>385</v>
      </c>
      <c r="C134" s="88" t="s">
        <v>170</v>
      </c>
      <c r="D134" s="90" t="s">
        <v>229</v>
      </c>
      <c r="E134" s="90" t="s">
        <v>102</v>
      </c>
      <c r="F134" s="90" t="s">
        <v>229</v>
      </c>
      <c r="G134" s="90" t="s">
        <v>102</v>
      </c>
      <c r="H134" s="90" t="s">
        <v>280</v>
      </c>
      <c r="I134" s="90" t="s">
        <v>102</v>
      </c>
      <c r="J134" s="90" t="s">
        <v>119</v>
      </c>
      <c r="K134" s="90" t="s">
        <v>119</v>
      </c>
      <c r="L134" s="90" t="s">
        <v>281</v>
      </c>
      <c r="M134" s="90" t="s">
        <v>102</v>
      </c>
      <c r="N134" s="90" t="s">
        <v>102</v>
      </c>
      <c r="O134" s="90" t="s">
        <v>125</v>
      </c>
      <c r="P134" s="90" t="s">
        <v>388</v>
      </c>
      <c r="Q134" s="90" t="s">
        <v>156</v>
      </c>
      <c r="R134" s="90" t="s">
        <v>532</v>
      </c>
      <c r="S134" s="90" t="s">
        <v>213</v>
      </c>
      <c r="T134" s="90" t="s">
        <v>102</v>
      </c>
      <c r="U134" s="90" t="s">
        <v>533</v>
      </c>
      <c r="V134" s="90" t="s">
        <v>102</v>
      </c>
      <c r="W134" s="90" t="s">
        <v>164</v>
      </c>
      <c r="X134" s="90" t="s">
        <v>135</v>
      </c>
      <c r="Y134" s="90" t="s">
        <v>102</v>
      </c>
      <c r="Z134" s="90" t="s">
        <v>102</v>
      </c>
      <c r="AA134" s="90" t="s">
        <v>102</v>
      </c>
    </row>
    <row r="135" spans="1:27" ht="15" x14ac:dyDescent="0.25">
      <c r="A135" s="88" t="s">
        <v>531</v>
      </c>
      <c r="B135" s="88" t="s">
        <v>304</v>
      </c>
      <c r="C135" s="88" t="s">
        <v>170</v>
      </c>
      <c r="D135" s="90" t="s">
        <v>185</v>
      </c>
      <c r="E135" s="90" t="s">
        <v>102</v>
      </c>
      <c r="F135" s="90" t="s">
        <v>240</v>
      </c>
      <c r="G135" s="90" t="s">
        <v>102</v>
      </c>
      <c r="H135" s="90" t="s">
        <v>187</v>
      </c>
      <c r="I135" s="90" t="s">
        <v>102</v>
      </c>
      <c r="J135" s="90" t="s">
        <v>147</v>
      </c>
      <c r="K135" s="90" t="s">
        <v>247</v>
      </c>
      <c r="L135" s="90" t="s">
        <v>534</v>
      </c>
      <c r="M135" s="90" t="s">
        <v>102</v>
      </c>
      <c r="N135" s="90" t="s">
        <v>102</v>
      </c>
      <c r="O135" s="90" t="s">
        <v>102</v>
      </c>
      <c r="P135" s="90" t="s">
        <v>369</v>
      </c>
      <c r="Q135" s="90" t="s">
        <v>369</v>
      </c>
      <c r="R135" s="90" t="s">
        <v>102</v>
      </c>
      <c r="S135" s="90" t="s">
        <v>102</v>
      </c>
      <c r="T135" s="90" t="s">
        <v>102</v>
      </c>
      <c r="U135" s="90" t="s">
        <v>533</v>
      </c>
      <c r="V135" s="90" t="s">
        <v>370</v>
      </c>
      <c r="W135" s="90" t="s">
        <v>102</v>
      </c>
      <c r="X135" s="90" t="s">
        <v>102</v>
      </c>
      <c r="Y135" s="90" t="s">
        <v>102</v>
      </c>
      <c r="Z135" s="90" t="s">
        <v>102</v>
      </c>
      <c r="AA135" s="90" t="s">
        <v>102</v>
      </c>
    </row>
    <row r="136" spans="1:27" ht="15" x14ac:dyDescent="0.25">
      <c r="A136" s="88" t="s">
        <v>531</v>
      </c>
      <c r="B136" s="88" t="s">
        <v>311</v>
      </c>
      <c r="C136" s="88" t="s">
        <v>170</v>
      </c>
      <c r="D136" s="90" t="s">
        <v>185</v>
      </c>
      <c r="E136" s="90" t="s">
        <v>102</v>
      </c>
      <c r="F136" s="90" t="s">
        <v>240</v>
      </c>
      <c r="G136" s="90" t="s">
        <v>102</v>
      </c>
      <c r="H136" s="90" t="s">
        <v>187</v>
      </c>
      <c r="I136" s="90" t="s">
        <v>102</v>
      </c>
      <c r="J136" s="90" t="s">
        <v>147</v>
      </c>
      <c r="K136" s="90" t="s">
        <v>247</v>
      </c>
      <c r="L136" s="90" t="s">
        <v>534</v>
      </c>
      <c r="M136" s="90" t="s">
        <v>102</v>
      </c>
      <c r="N136" s="90" t="s">
        <v>102</v>
      </c>
      <c r="O136" s="90" t="s">
        <v>102</v>
      </c>
      <c r="P136" s="90" t="s">
        <v>369</v>
      </c>
      <c r="Q136" s="90" t="s">
        <v>369</v>
      </c>
      <c r="R136" s="90" t="s">
        <v>102</v>
      </c>
      <c r="S136" s="90" t="s">
        <v>102</v>
      </c>
      <c r="T136" s="90" t="s">
        <v>102</v>
      </c>
      <c r="U136" s="90" t="s">
        <v>533</v>
      </c>
      <c r="V136" s="90" t="s">
        <v>370</v>
      </c>
      <c r="W136" s="90" t="s">
        <v>102</v>
      </c>
      <c r="X136" s="90" t="s">
        <v>102</v>
      </c>
      <c r="Y136" s="90" t="s">
        <v>102</v>
      </c>
      <c r="Z136" s="90" t="s">
        <v>102</v>
      </c>
      <c r="AA136" s="90" t="s">
        <v>102</v>
      </c>
    </row>
    <row r="137" spans="1:27" ht="15" x14ac:dyDescent="0.25">
      <c r="A137" s="88" t="s">
        <v>531</v>
      </c>
      <c r="B137" s="88" t="s">
        <v>169</v>
      </c>
      <c r="C137" s="88" t="s">
        <v>170</v>
      </c>
      <c r="D137" s="90" t="s">
        <v>184</v>
      </c>
      <c r="E137" s="90" t="s">
        <v>102</v>
      </c>
      <c r="F137" s="90" t="s">
        <v>228</v>
      </c>
      <c r="G137" s="90" t="s">
        <v>102</v>
      </c>
      <c r="H137" s="90" t="s">
        <v>387</v>
      </c>
      <c r="I137" s="90" t="s">
        <v>102</v>
      </c>
      <c r="J137" s="90" t="s">
        <v>113</v>
      </c>
      <c r="K137" s="90" t="s">
        <v>103</v>
      </c>
      <c r="L137" s="90" t="s">
        <v>476</v>
      </c>
      <c r="M137" s="90" t="s">
        <v>102</v>
      </c>
      <c r="N137" s="90" t="s">
        <v>102</v>
      </c>
      <c r="O137" s="90" t="s">
        <v>102</v>
      </c>
      <c r="P137" s="90" t="s">
        <v>102</v>
      </c>
      <c r="Q137" s="90" t="s">
        <v>102</v>
      </c>
      <c r="R137" s="90" t="s">
        <v>102</v>
      </c>
      <c r="S137" s="90" t="s">
        <v>102</v>
      </c>
      <c r="T137" s="90" t="s">
        <v>102</v>
      </c>
      <c r="U137" s="90" t="s">
        <v>102</v>
      </c>
      <c r="V137" s="90" t="s">
        <v>102</v>
      </c>
      <c r="W137" s="90" t="s">
        <v>102</v>
      </c>
      <c r="X137" s="90" t="s">
        <v>102</v>
      </c>
      <c r="Y137" s="90" t="s">
        <v>102</v>
      </c>
      <c r="Z137" s="90" t="s">
        <v>102</v>
      </c>
      <c r="AA137" s="90" t="s">
        <v>102</v>
      </c>
    </row>
    <row r="138" spans="1:27" ht="15" x14ac:dyDescent="0.25">
      <c r="A138" s="88" t="s">
        <v>531</v>
      </c>
      <c r="B138" s="88" t="s">
        <v>176</v>
      </c>
      <c r="C138" s="88" t="s">
        <v>170</v>
      </c>
      <c r="D138" s="90" t="s">
        <v>535</v>
      </c>
      <c r="E138" s="90" t="s">
        <v>102</v>
      </c>
      <c r="F138" s="90" t="s">
        <v>535</v>
      </c>
      <c r="G138" s="90" t="s">
        <v>102</v>
      </c>
      <c r="H138" s="90" t="s">
        <v>536</v>
      </c>
      <c r="I138" s="90" t="s">
        <v>102</v>
      </c>
      <c r="J138" s="90" t="s">
        <v>537</v>
      </c>
      <c r="K138" s="90" t="s">
        <v>538</v>
      </c>
      <c r="L138" s="90" t="s">
        <v>539</v>
      </c>
      <c r="M138" s="90" t="s">
        <v>102</v>
      </c>
      <c r="N138" s="90" t="s">
        <v>102</v>
      </c>
      <c r="O138" s="90" t="s">
        <v>102</v>
      </c>
      <c r="P138" s="90" t="s">
        <v>102</v>
      </c>
      <c r="Q138" s="90" t="s">
        <v>102</v>
      </c>
      <c r="R138" s="90" t="s">
        <v>102</v>
      </c>
      <c r="S138" s="90" t="s">
        <v>102</v>
      </c>
      <c r="T138" s="90" t="s">
        <v>102</v>
      </c>
      <c r="U138" s="90" t="s">
        <v>102</v>
      </c>
      <c r="V138" s="90" t="s">
        <v>102</v>
      </c>
      <c r="W138" s="90" t="s">
        <v>102</v>
      </c>
      <c r="X138" s="90" t="s">
        <v>102</v>
      </c>
      <c r="Y138" s="90" t="s">
        <v>102</v>
      </c>
      <c r="Z138" s="90" t="s">
        <v>102</v>
      </c>
      <c r="AA138" s="90" t="s">
        <v>102</v>
      </c>
    </row>
    <row r="139" spans="1:27" ht="15" x14ac:dyDescent="0.25">
      <c r="A139" s="88" t="s">
        <v>531</v>
      </c>
      <c r="B139" s="88" t="s">
        <v>316</v>
      </c>
      <c r="C139" s="88" t="s">
        <v>170</v>
      </c>
      <c r="D139" s="90" t="s">
        <v>185</v>
      </c>
      <c r="E139" s="90" t="s">
        <v>102</v>
      </c>
      <c r="F139" s="90" t="s">
        <v>240</v>
      </c>
      <c r="G139" s="90" t="s">
        <v>102</v>
      </c>
      <c r="H139" s="90" t="s">
        <v>187</v>
      </c>
      <c r="I139" s="90" t="s">
        <v>102</v>
      </c>
      <c r="J139" s="90" t="s">
        <v>147</v>
      </c>
      <c r="K139" s="90" t="s">
        <v>247</v>
      </c>
      <c r="L139" s="90" t="s">
        <v>534</v>
      </c>
      <c r="M139" s="90" t="s">
        <v>102</v>
      </c>
      <c r="N139" s="90" t="s">
        <v>102</v>
      </c>
      <c r="O139" s="90" t="s">
        <v>102</v>
      </c>
      <c r="P139" s="90" t="s">
        <v>369</v>
      </c>
      <c r="Q139" s="90" t="s">
        <v>369</v>
      </c>
      <c r="R139" s="90" t="s">
        <v>102</v>
      </c>
      <c r="S139" s="90" t="s">
        <v>102</v>
      </c>
      <c r="T139" s="90" t="s">
        <v>102</v>
      </c>
      <c r="U139" s="90" t="s">
        <v>533</v>
      </c>
      <c r="V139" s="90" t="s">
        <v>370</v>
      </c>
      <c r="W139" s="90" t="s">
        <v>102</v>
      </c>
      <c r="X139" s="90" t="s">
        <v>102</v>
      </c>
      <c r="Y139" s="90" t="s">
        <v>102</v>
      </c>
      <c r="Z139" s="90" t="s">
        <v>102</v>
      </c>
      <c r="AA139" s="90" t="s">
        <v>102</v>
      </c>
    </row>
    <row r="140" spans="1:27" ht="15" x14ac:dyDescent="0.25">
      <c r="A140" s="88" t="s">
        <v>531</v>
      </c>
      <c r="B140" s="88" t="s">
        <v>154</v>
      </c>
      <c r="C140" s="88" t="s">
        <v>170</v>
      </c>
      <c r="D140" s="90" t="s">
        <v>102</v>
      </c>
      <c r="E140" s="90" t="s">
        <v>191</v>
      </c>
      <c r="F140" s="90" t="s">
        <v>102</v>
      </c>
      <c r="G140" s="90" t="s">
        <v>488</v>
      </c>
      <c r="H140" s="90" t="s">
        <v>280</v>
      </c>
      <c r="I140" s="90" t="s">
        <v>489</v>
      </c>
      <c r="J140" s="90" t="s">
        <v>281</v>
      </c>
      <c r="K140" s="90" t="s">
        <v>103</v>
      </c>
      <c r="L140" s="90" t="s">
        <v>125</v>
      </c>
      <c r="M140" s="90" t="s">
        <v>102</v>
      </c>
      <c r="N140" s="90" t="s">
        <v>102</v>
      </c>
      <c r="O140" s="90" t="s">
        <v>102</v>
      </c>
      <c r="P140" s="90" t="s">
        <v>102</v>
      </c>
      <c r="Q140" s="90" t="s">
        <v>102</v>
      </c>
      <c r="R140" s="90" t="s">
        <v>102</v>
      </c>
      <c r="S140" s="90" t="s">
        <v>102</v>
      </c>
      <c r="T140" s="90" t="s">
        <v>102</v>
      </c>
      <c r="U140" s="90" t="s">
        <v>114</v>
      </c>
      <c r="V140" s="90" t="s">
        <v>102</v>
      </c>
      <c r="W140" s="90" t="s">
        <v>102</v>
      </c>
      <c r="X140" s="90" t="s">
        <v>102</v>
      </c>
      <c r="Y140" s="90" t="s">
        <v>102</v>
      </c>
      <c r="Z140" s="90" t="s">
        <v>102</v>
      </c>
      <c r="AA140" s="90" t="s">
        <v>102</v>
      </c>
    </row>
    <row r="141" spans="1:27" ht="15" x14ac:dyDescent="0.25">
      <c r="A141" s="88" t="s">
        <v>540</v>
      </c>
      <c r="B141" s="88" t="s">
        <v>407</v>
      </c>
      <c r="C141" s="88" t="s">
        <v>541</v>
      </c>
      <c r="D141" s="90" t="s">
        <v>542</v>
      </c>
      <c r="E141" s="90" t="s">
        <v>102</v>
      </c>
      <c r="F141" s="90" t="s">
        <v>542</v>
      </c>
      <c r="G141" s="90" t="s">
        <v>102</v>
      </c>
      <c r="H141" s="90" t="s">
        <v>543</v>
      </c>
      <c r="I141" s="90" t="s">
        <v>102</v>
      </c>
      <c r="J141" s="90" t="s">
        <v>544</v>
      </c>
      <c r="K141" s="90" t="s">
        <v>544</v>
      </c>
      <c r="L141" s="90" t="s">
        <v>545</v>
      </c>
      <c r="M141" s="90" t="s">
        <v>102</v>
      </c>
      <c r="N141" s="90" t="s">
        <v>102</v>
      </c>
      <c r="O141" s="90" t="s">
        <v>102</v>
      </c>
      <c r="P141" s="90" t="s">
        <v>546</v>
      </c>
      <c r="Q141" s="90" t="s">
        <v>102</v>
      </c>
      <c r="R141" s="90" t="s">
        <v>102</v>
      </c>
      <c r="S141" s="90" t="s">
        <v>102</v>
      </c>
      <c r="T141" s="90" t="s">
        <v>102</v>
      </c>
      <c r="U141" s="90" t="s">
        <v>547</v>
      </c>
      <c r="V141" s="90" t="s">
        <v>102</v>
      </c>
      <c r="W141" s="90" t="s">
        <v>102</v>
      </c>
      <c r="X141" s="90" t="s">
        <v>102</v>
      </c>
      <c r="Y141" s="90" t="s">
        <v>102</v>
      </c>
      <c r="Z141" s="90" t="s">
        <v>102</v>
      </c>
      <c r="AA141" s="90" t="s">
        <v>102</v>
      </c>
    </row>
    <row r="142" spans="1:27" ht="15" x14ac:dyDescent="0.25">
      <c r="A142" s="88" t="s">
        <v>548</v>
      </c>
      <c r="B142" s="88" t="s">
        <v>549</v>
      </c>
      <c r="C142" s="88" t="s">
        <v>550</v>
      </c>
      <c r="D142" s="90" t="s">
        <v>102</v>
      </c>
      <c r="E142" s="90" t="s">
        <v>102</v>
      </c>
      <c r="F142" s="90" t="s">
        <v>551</v>
      </c>
      <c r="G142" s="90" t="s">
        <v>102</v>
      </c>
      <c r="H142" s="90" t="s">
        <v>552</v>
      </c>
      <c r="I142" s="90" t="s">
        <v>102</v>
      </c>
      <c r="J142" s="90" t="s">
        <v>553</v>
      </c>
      <c r="K142" s="90" t="s">
        <v>102</v>
      </c>
      <c r="L142" s="90" t="s">
        <v>554</v>
      </c>
      <c r="M142" s="90" t="s">
        <v>102</v>
      </c>
      <c r="N142" s="90" t="s">
        <v>102</v>
      </c>
      <c r="O142" s="90" t="s">
        <v>102</v>
      </c>
      <c r="P142" s="90" t="s">
        <v>102</v>
      </c>
      <c r="Q142" s="90" t="s">
        <v>102</v>
      </c>
      <c r="R142" s="90" t="s">
        <v>102</v>
      </c>
      <c r="S142" s="90" t="s">
        <v>102</v>
      </c>
      <c r="T142" s="90" t="s">
        <v>102</v>
      </c>
      <c r="U142" s="90" t="s">
        <v>102</v>
      </c>
      <c r="V142" s="90" t="s">
        <v>102</v>
      </c>
      <c r="W142" s="90" t="s">
        <v>102</v>
      </c>
      <c r="X142" s="90" t="s">
        <v>102</v>
      </c>
      <c r="Y142" s="90" t="s">
        <v>102</v>
      </c>
      <c r="Z142" s="90" t="s">
        <v>102</v>
      </c>
      <c r="AA142" s="90" t="s">
        <v>102</v>
      </c>
    </row>
    <row r="143" spans="1:27" ht="15" x14ac:dyDescent="0.25">
      <c r="A143" s="88" t="s">
        <v>548</v>
      </c>
      <c r="B143" s="88" t="s">
        <v>371</v>
      </c>
      <c r="C143" s="88" t="s">
        <v>550</v>
      </c>
      <c r="D143" s="90" t="s">
        <v>102</v>
      </c>
      <c r="E143" s="90" t="s">
        <v>102</v>
      </c>
      <c r="F143" s="90" t="s">
        <v>551</v>
      </c>
      <c r="G143" s="90" t="s">
        <v>102</v>
      </c>
      <c r="H143" s="90" t="s">
        <v>552</v>
      </c>
      <c r="I143" s="90" t="s">
        <v>102</v>
      </c>
      <c r="J143" s="90" t="s">
        <v>553</v>
      </c>
      <c r="K143" s="90" t="s">
        <v>102</v>
      </c>
      <c r="L143" s="90" t="s">
        <v>554</v>
      </c>
      <c r="M143" s="90" t="s">
        <v>102</v>
      </c>
      <c r="N143" s="90" t="s">
        <v>102</v>
      </c>
      <c r="O143" s="90" t="s">
        <v>102</v>
      </c>
      <c r="P143" s="90" t="s">
        <v>102</v>
      </c>
      <c r="Q143" s="90" t="s">
        <v>102</v>
      </c>
      <c r="R143" s="90" t="s">
        <v>102</v>
      </c>
      <c r="S143" s="90" t="s">
        <v>102</v>
      </c>
      <c r="T143" s="90" t="s">
        <v>102</v>
      </c>
      <c r="U143" s="90" t="s">
        <v>102</v>
      </c>
      <c r="V143" s="90" t="s">
        <v>102</v>
      </c>
      <c r="W143" s="90" t="s">
        <v>102</v>
      </c>
      <c r="X143" s="90" t="s">
        <v>102</v>
      </c>
      <c r="Y143" s="90" t="s">
        <v>102</v>
      </c>
      <c r="Z143" s="90" t="s">
        <v>102</v>
      </c>
      <c r="AA143" s="90" t="s">
        <v>102</v>
      </c>
    </row>
    <row r="144" spans="1:27" ht="15" x14ac:dyDescent="0.25">
      <c r="A144" s="88" t="s">
        <v>548</v>
      </c>
      <c r="B144" s="88" t="s">
        <v>144</v>
      </c>
      <c r="C144" s="88" t="s">
        <v>550</v>
      </c>
      <c r="D144" s="90" t="s">
        <v>102</v>
      </c>
      <c r="E144" s="90" t="s">
        <v>102</v>
      </c>
      <c r="F144" s="90" t="s">
        <v>551</v>
      </c>
      <c r="G144" s="90" t="s">
        <v>102</v>
      </c>
      <c r="H144" s="90" t="s">
        <v>552</v>
      </c>
      <c r="I144" s="90" t="s">
        <v>102</v>
      </c>
      <c r="J144" s="90" t="s">
        <v>553</v>
      </c>
      <c r="K144" s="90" t="s">
        <v>102</v>
      </c>
      <c r="L144" s="90" t="s">
        <v>554</v>
      </c>
      <c r="M144" s="90" t="s">
        <v>102</v>
      </c>
      <c r="N144" s="90" t="s">
        <v>102</v>
      </c>
      <c r="O144" s="90" t="s">
        <v>102</v>
      </c>
      <c r="P144" s="90" t="s">
        <v>102</v>
      </c>
      <c r="Q144" s="90" t="s">
        <v>102</v>
      </c>
      <c r="R144" s="90" t="s">
        <v>102</v>
      </c>
      <c r="S144" s="90" t="s">
        <v>102</v>
      </c>
      <c r="T144" s="90" t="s">
        <v>102</v>
      </c>
      <c r="U144" s="90" t="s">
        <v>102</v>
      </c>
      <c r="V144" s="90" t="s">
        <v>102</v>
      </c>
      <c r="W144" s="90" t="s">
        <v>102</v>
      </c>
      <c r="X144" s="90" t="s">
        <v>102</v>
      </c>
      <c r="Y144" s="90" t="s">
        <v>102</v>
      </c>
      <c r="Z144" s="90" t="s">
        <v>102</v>
      </c>
      <c r="AA144" s="90" t="s">
        <v>102</v>
      </c>
    </row>
    <row r="145" spans="1:27" ht="15" x14ac:dyDescent="0.25">
      <c r="A145" s="88" t="s">
        <v>555</v>
      </c>
      <c r="B145" s="88" t="s">
        <v>407</v>
      </c>
      <c r="C145" s="88" t="s">
        <v>556</v>
      </c>
      <c r="D145" s="90" t="s">
        <v>229</v>
      </c>
      <c r="E145" s="90" t="s">
        <v>102</v>
      </c>
      <c r="F145" s="90" t="s">
        <v>229</v>
      </c>
      <c r="G145" s="90" t="s">
        <v>102</v>
      </c>
      <c r="H145" s="90" t="s">
        <v>280</v>
      </c>
      <c r="I145" s="90" t="s">
        <v>102</v>
      </c>
      <c r="J145" s="90" t="s">
        <v>119</v>
      </c>
      <c r="K145" s="90" t="s">
        <v>119</v>
      </c>
      <c r="L145" s="90" t="s">
        <v>209</v>
      </c>
      <c r="M145" s="90" t="s">
        <v>102</v>
      </c>
      <c r="N145" s="90" t="s">
        <v>102</v>
      </c>
      <c r="O145" s="90" t="s">
        <v>102</v>
      </c>
      <c r="P145" s="90" t="s">
        <v>102</v>
      </c>
      <c r="Q145" s="90" t="s">
        <v>102</v>
      </c>
      <c r="R145" s="90" t="s">
        <v>102</v>
      </c>
      <c r="S145" s="90" t="s">
        <v>102</v>
      </c>
      <c r="T145" s="90" t="s">
        <v>102</v>
      </c>
      <c r="U145" s="90" t="s">
        <v>102</v>
      </c>
      <c r="V145" s="90" t="s">
        <v>102</v>
      </c>
      <c r="W145" s="90" t="s">
        <v>102</v>
      </c>
      <c r="X145" s="90" t="s">
        <v>102</v>
      </c>
      <c r="Y145" s="90" t="s">
        <v>102</v>
      </c>
      <c r="Z145" s="90" t="s">
        <v>102</v>
      </c>
      <c r="AA145" s="90" t="s">
        <v>102</v>
      </c>
    </row>
    <row r="146" spans="1:27" ht="15" x14ac:dyDescent="0.25">
      <c r="A146" s="88" t="s">
        <v>557</v>
      </c>
      <c r="B146" s="88" t="s">
        <v>523</v>
      </c>
      <c r="C146" s="88" t="s">
        <v>101</v>
      </c>
      <c r="D146" s="90" t="s">
        <v>102</v>
      </c>
      <c r="E146" s="90" t="s">
        <v>102</v>
      </c>
      <c r="F146" s="90" t="s">
        <v>401</v>
      </c>
      <c r="G146" s="90" t="s">
        <v>340</v>
      </c>
      <c r="H146" s="90" t="s">
        <v>340</v>
      </c>
      <c r="I146" s="90" t="s">
        <v>102</v>
      </c>
      <c r="J146" s="90" t="s">
        <v>187</v>
      </c>
      <c r="K146" s="90" t="s">
        <v>102</v>
      </c>
      <c r="L146" s="90" t="s">
        <v>124</v>
      </c>
      <c r="M146" s="90" t="s">
        <v>102</v>
      </c>
      <c r="N146" s="90" t="s">
        <v>102</v>
      </c>
      <c r="O146" s="90" t="s">
        <v>187</v>
      </c>
      <c r="P146" s="90" t="s">
        <v>102</v>
      </c>
      <c r="Q146" s="90" t="s">
        <v>102</v>
      </c>
      <c r="R146" s="90" t="s">
        <v>102</v>
      </c>
      <c r="S146" s="90" t="s">
        <v>124</v>
      </c>
      <c r="T146" s="90" t="s">
        <v>102</v>
      </c>
      <c r="U146" s="90" t="s">
        <v>102</v>
      </c>
      <c r="V146" s="90" t="s">
        <v>102</v>
      </c>
      <c r="W146" s="90" t="s">
        <v>124</v>
      </c>
      <c r="X146" s="90" t="s">
        <v>102</v>
      </c>
      <c r="Y146" s="90" t="s">
        <v>102</v>
      </c>
      <c r="Z146" s="90" t="s">
        <v>102</v>
      </c>
      <c r="AA146" s="90" t="s">
        <v>102</v>
      </c>
    </row>
    <row r="147" spans="1:27" ht="15" x14ac:dyDescent="0.25">
      <c r="A147" s="88" t="s">
        <v>558</v>
      </c>
      <c r="B147" s="88" t="s">
        <v>523</v>
      </c>
      <c r="C147" s="88" t="s">
        <v>101</v>
      </c>
      <c r="D147" s="90" t="s">
        <v>102</v>
      </c>
      <c r="E147" s="90" t="s">
        <v>102</v>
      </c>
      <c r="F147" s="90" t="s">
        <v>413</v>
      </c>
      <c r="G147" s="90" t="s">
        <v>102</v>
      </c>
      <c r="H147" s="90" t="s">
        <v>559</v>
      </c>
      <c r="I147" s="90" t="s">
        <v>102</v>
      </c>
      <c r="J147" s="90" t="s">
        <v>133</v>
      </c>
      <c r="K147" s="90" t="s">
        <v>150</v>
      </c>
      <c r="L147" s="90" t="s">
        <v>102</v>
      </c>
      <c r="M147" s="90" t="s">
        <v>102</v>
      </c>
      <c r="N147" s="90" t="s">
        <v>102</v>
      </c>
      <c r="O147" s="90" t="s">
        <v>102</v>
      </c>
      <c r="P147" s="90" t="s">
        <v>102</v>
      </c>
      <c r="Q147" s="90" t="s">
        <v>102</v>
      </c>
      <c r="R147" s="90" t="s">
        <v>102</v>
      </c>
      <c r="S147" s="90" t="s">
        <v>102</v>
      </c>
      <c r="T147" s="90" t="s">
        <v>102</v>
      </c>
      <c r="U147" s="90" t="s">
        <v>102</v>
      </c>
      <c r="V147" s="90" t="s">
        <v>102</v>
      </c>
      <c r="W147" s="90" t="s">
        <v>102</v>
      </c>
      <c r="X147" s="90" t="s">
        <v>102</v>
      </c>
      <c r="Y147" s="90" t="s">
        <v>102</v>
      </c>
      <c r="Z147" s="90" t="s">
        <v>102</v>
      </c>
      <c r="AA147" s="90" t="s">
        <v>102</v>
      </c>
    </row>
    <row r="148" spans="1:27" ht="15" x14ac:dyDescent="0.25">
      <c r="A148" s="88" t="s">
        <v>560</v>
      </c>
      <c r="B148" s="88" t="s">
        <v>561</v>
      </c>
      <c r="C148" s="88" t="s">
        <v>562</v>
      </c>
      <c r="D148" s="90" t="s">
        <v>563</v>
      </c>
      <c r="E148" s="90" t="s">
        <v>102</v>
      </c>
      <c r="F148" s="90" t="s">
        <v>563</v>
      </c>
      <c r="G148" s="90" t="s">
        <v>102</v>
      </c>
      <c r="H148" s="90" t="s">
        <v>563</v>
      </c>
      <c r="I148" s="90" t="s">
        <v>102</v>
      </c>
      <c r="J148" s="90" t="s">
        <v>564</v>
      </c>
      <c r="K148" s="90" t="s">
        <v>564</v>
      </c>
      <c r="L148" s="90" t="s">
        <v>565</v>
      </c>
      <c r="M148" s="90" t="s">
        <v>102</v>
      </c>
      <c r="N148" s="90" t="s">
        <v>102</v>
      </c>
      <c r="O148" s="90" t="s">
        <v>102</v>
      </c>
      <c r="P148" s="90" t="s">
        <v>102</v>
      </c>
      <c r="Q148" s="90" t="s">
        <v>102</v>
      </c>
      <c r="R148" s="90" t="s">
        <v>102</v>
      </c>
      <c r="S148" s="90" t="s">
        <v>102</v>
      </c>
      <c r="T148" s="90" t="s">
        <v>102</v>
      </c>
      <c r="U148" s="90" t="s">
        <v>102</v>
      </c>
      <c r="V148" s="90" t="s">
        <v>102</v>
      </c>
      <c r="W148" s="90" t="s">
        <v>102</v>
      </c>
      <c r="X148" s="90" t="s">
        <v>102</v>
      </c>
      <c r="Y148" s="90" t="s">
        <v>102</v>
      </c>
      <c r="Z148" s="90" t="s">
        <v>102</v>
      </c>
      <c r="AA148" s="90" t="s">
        <v>102</v>
      </c>
    </row>
    <row r="149" spans="1:27" ht="15" x14ac:dyDescent="0.25">
      <c r="A149" s="88" t="s">
        <v>560</v>
      </c>
      <c r="B149" s="88" t="s">
        <v>335</v>
      </c>
      <c r="C149" s="88" t="s">
        <v>170</v>
      </c>
      <c r="D149" s="90" t="s">
        <v>102</v>
      </c>
      <c r="E149" s="90" t="s">
        <v>102</v>
      </c>
      <c r="F149" s="90" t="s">
        <v>391</v>
      </c>
      <c r="G149" s="90" t="s">
        <v>102</v>
      </c>
      <c r="H149" s="90" t="s">
        <v>104</v>
      </c>
      <c r="I149" s="90" t="s">
        <v>102</v>
      </c>
      <c r="J149" s="90" t="s">
        <v>152</v>
      </c>
      <c r="K149" s="90" t="s">
        <v>134</v>
      </c>
      <c r="L149" s="90" t="s">
        <v>102</v>
      </c>
      <c r="M149" s="90" t="s">
        <v>102</v>
      </c>
      <c r="N149" s="90" t="s">
        <v>102</v>
      </c>
      <c r="O149" s="90" t="s">
        <v>102</v>
      </c>
      <c r="P149" s="90" t="s">
        <v>102</v>
      </c>
      <c r="Q149" s="90" t="s">
        <v>102</v>
      </c>
      <c r="R149" s="90" t="s">
        <v>102</v>
      </c>
      <c r="S149" s="90" t="s">
        <v>102</v>
      </c>
      <c r="T149" s="90" t="s">
        <v>102</v>
      </c>
      <c r="U149" s="90" t="s">
        <v>445</v>
      </c>
      <c r="V149" s="90" t="s">
        <v>102</v>
      </c>
      <c r="W149" s="90" t="s">
        <v>102</v>
      </c>
      <c r="X149" s="90" t="s">
        <v>102</v>
      </c>
      <c r="Y149" s="90" t="s">
        <v>102</v>
      </c>
      <c r="Z149" s="90" t="s">
        <v>102</v>
      </c>
      <c r="AA149" s="90" t="s">
        <v>102</v>
      </c>
    </row>
    <row r="150" spans="1:27" ht="15" x14ac:dyDescent="0.25">
      <c r="A150" s="88" t="s">
        <v>560</v>
      </c>
      <c r="B150" s="88" t="s">
        <v>566</v>
      </c>
      <c r="C150" s="88" t="s">
        <v>562</v>
      </c>
      <c r="D150" s="90" t="s">
        <v>567</v>
      </c>
      <c r="E150" s="90" t="s">
        <v>102</v>
      </c>
      <c r="F150" s="90" t="s">
        <v>567</v>
      </c>
      <c r="G150" s="90" t="s">
        <v>102</v>
      </c>
      <c r="H150" s="90" t="s">
        <v>568</v>
      </c>
      <c r="I150" s="90" t="s">
        <v>102</v>
      </c>
      <c r="J150" s="90" t="s">
        <v>569</v>
      </c>
      <c r="K150" s="90" t="s">
        <v>569</v>
      </c>
      <c r="L150" s="90" t="s">
        <v>102</v>
      </c>
      <c r="M150" s="90" t="s">
        <v>102</v>
      </c>
      <c r="N150" s="90" t="s">
        <v>102</v>
      </c>
      <c r="O150" s="90" t="s">
        <v>102</v>
      </c>
      <c r="P150" s="90" t="s">
        <v>102</v>
      </c>
      <c r="Q150" s="90" t="s">
        <v>102</v>
      </c>
      <c r="R150" s="90" t="s">
        <v>102</v>
      </c>
      <c r="S150" s="90" t="s">
        <v>102</v>
      </c>
      <c r="T150" s="90" t="s">
        <v>102</v>
      </c>
      <c r="U150" s="90" t="s">
        <v>570</v>
      </c>
      <c r="V150" s="90" t="s">
        <v>102</v>
      </c>
      <c r="W150" s="90" t="s">
        <v>102</v>
      </c>
      <c r="X150" s="90" t="s">
        <v>102</v>
      </c>
      <c r="Y150" s="90" t="s">
        <v>102</v>
      </c>
      <c r="Z150" s="90" t="s">
        <v>102</v>
      </c>
      <c r="AA150" s="90" t="s">
        <v>102</v>
      </c>
    </row>
    <row r="151" spans="1:27" ht="15" x14ac:dyDescent="0.25">
      <c r="A151" s="88" t="s">
        <v>560</v>
      </c>
      <c r="B151" s="88" t="s">
        <v>149</v>
      </c>
      <c r="C151" s="88" t="s">
        <v>170</v>
      </c>
      <c r="D151" s="90" t="s">
        <v>337</v>
      </c>
      <c r="E151" s="90" t="s">
        <v>102</v>
      </c>
      <c r="F151" s="90" t="s">
        <v>337</v>
      </c>
      <c r="G151" s="90" t="s">
        <v>102</v>
      </c>
      <c r="H151" s="90" t="s">
        <v>337</v>
      </c>
      <c r="I151" s="90" t="s">
        <v>102</v>
      </c>
      <c r="J151" s="90" t="s">
        <v>413</v>
      </c>
      <c r="K151" s="90" t="s">
        <v>413</v>
      </c>
      <c r="L151" s="90" t="s">
        <v>102</v>
      </c>
      <c r="M151" s="90" t="s">
        <v>571</v>
      </c>
      <c r="N151" s="90" t="s">
        <v>572</v>
      </c>
      <c r="O151" s="90" t="s">
        <v>573</v>
      </c>
      <c r="P151" s="90" t="s">
        <v>102</v>
      </c>
      <c r="Q151" s="90" t="s">
        <v>573</v>
      </c>
      <c r="R151" s="90" t="s">
        <v>102</v>
      </c>
      <c r="S151" s="90" t="s">
        <v>364</v>
      </c>
      <c r="T151" s="90" t="s">
        <v>574</v>
      </c>
      <c r="U151" s="90" t="s">
        <v>575</v>
      </c>
      <c r="V151" s="90" t="s">
        <v>102</v>
      </c>
      <c r="W151" s="90" t="s">
        <v>102</v>
      </c>
      <c r="X151" s="90" t="s">
        <v>102</v>
      </c>
      <c r="Y151" s="90" t="s">
        <v>102</v>
      </c>
      <c r="Z151" s="90" t="s">
        <v>102</v>
      </c>
      <c r="AA151" s="90" t="s">
        <v>102</v>
      </c>
    </row>
    <row r="152" spans="1:27" ht="15" x14ac:dyDescent="0.25">
      <c r="A152" s="88" t="s">
        <v>560</v>
      </c>
      <c r="B152" s="88" t="s">
        <v>154</v>
      </c>
      <c r="C152" s="88" t="s">
        <v>170</v>
      </c>
      <c r="D152" s="90" t="s">
        <v>102</v>
      </c>
      <c r="E152" s="90" t="s">
        <v>102</v>
      </c>
      <c r="F152" s="90" t="s">
        <v>102</v>
      </c>
      <c r="G152" s="90" t="s">
        <v>102</v>
      </c>
      <c r="H152" s="90" t="s">
        <v>102</v>
      </c>
      <c r="I152" s="90" t="s">
        <v>102</v>
      </c>
      <c r="J152" s="90" t="s">
        <v>102</v>
      </c>
      <c r="K152" s="90" t="s">
        <v>559</v>
      </c>
      <c r="L152" s="90" t="s">
        <v>102</v>
      </c>
      <c r="M152" s="90" t="s">
        <v>102</v>
      </c>
      <c r="N152" s="90" t="s">
        <v>102</v>
      </c>
      <c r="O152" s="90" t="s">
        <v>102</v>
      </c>
      <c r="P152" s="90" t="s">
        <v>102</v>
      </c>
      <c r="Q152" s="90" t="s">
        <v>102</v>
      </c>
      <c r="R152" s="90" t="s">
        <v>102</v>
      </c>
      <c r="S152" s="90" t="s">
        <v>102</v>
      </c>
      <c r="T152" s="90" t="s">
        <v>102</v>
      </c>
      <c r="U152" s="90" t="s">
        <v>141</v>
      </c>
      <c r="V152" s="90" t="s">
        <v>102</v>
      </c>
      <c r="W152" s="90" t="s">
        <v>102</v>
      </c>
      <c r="X152" s="90" t="s">
        <v>102</v>
      </c>
      <c r="Y152" s="90" t="s">
        <v>102</v>
      </c>
      <c r="Z152" s="90" t="s">
        <v>102</v>
      </c>
      <c r="AA152" s="90" t="s">
        <v>102</v>
      </c>
    </row>
    <row r="153" spans="1:27" ht="15" x14ac:dyDescent="0.25">
      <c r="A153" s="88" t="s">
        <v>576</v>
      </c>
      <c r="B153" s="88" t="s">
        <v>407</v>
      </c>
      <c r="C153" s="88" t="s">
        <v>170</v>
      </c>
      <c r="D153" s="90" t="s">
        <v>229</v>
      </c>
      <c r="E153" s="90" t="s">
        <v>102</v>
      </c>
      <c r="F153" s="90" t="s">
        <v>229</v>
      </c>
      <c r="G153" s="90" t="s">
        <v>102</v>
      </c>
      <c r="H153" s="90" t="s">
        <v>280</v>
      </c>
      <c r="I153" s="90" t="s">
        <v>102</v>
      </c>
      <c r="J153" s="90" t="s">
        <v>119</v>
      </c>
      <c r="K153" s="90" t="s">
        <v>119</v>
      </c>
      <c r="L153" s="90" t="s">
        <v>112</v>
      </c>
      <c r="M153" s="90" t="s">
        <v>102</v>
      </c>
      <c r="N153" s="90" t="s">
        <v>102</v>
      </c>
      <c r="O153" s="90" t="s">
        <v>102</v>
      </c>
      <c r="P153" s="90" t="s">
        <v>102</v>
      </c>
      <c r="Q153" s="90" t="s">
        <v>102</v>
      </c>
      <c r="R153" s="90" t="s">
        <v>102</v>
      </c>
      <c r="S153" s="90" t="s">
        <v>102</v>
      </c>
      <c r="T153" s="90" t="s">
        <v>102</v>
      </c>
      <c r="U153" s="90" t="s">
        <v>102</v>
      </c>
      <c r="V153" s="90" t="s">
        <v>102</v>
      </c>
      <c r="W153" s="90" t="s">
        <v>102</v>
      </c>
      <c r="X153" s="90" t="s">
        <v>102</v>
      </c>
      <c r="Y153" s="90" t="s">
        <v>102</v>
      </c>
      <c r="Z153" s="90" t="s">
        <v>102</v>
      </c>
      <c r="AA153" s="90" t="s">
        <v>102</v>
      </c>
    </row>
    <row r="154" spans="1:27" ht="15" x14ac:dyDescent="0.25">
      <c r="A154" s="88" t="s">
        <v>576</v>
      </c>
      <c r="B154" s="88" t="s">
        <v>169</v>
      </c>
      <c r="C154" s="88" t="s">
        <v>170</v>
      </c>
      <c r="D154" s="90" t="s">
        <v>102</v>
      </c>
      <c r="E154" s="90" t="s">
        <v>102</v>
      </c>
      <c r="F154" s="90" t="s">
        <v>577</v>
      </c>
      <c r="G154" s="90" t="s">
        <v>102</v>
      </c>
      <c r="H154" s="90" t="s">
        <v>578</v>
      </c>
      <c r="I154" s="90" t="s">
        <v>102</v>
      </c>
      <c r="J154" s="90" t="s">
        <v>579</v>
      </c>
      <c r="K154" s="90" t="s">
        <v>580</v>
      </c>
      <c r="L154" s="90" t="s">
        <v>581</v>
      </c>
      <c r="M154" s="90" t="s">
        <v>102</v>
      </c>
      <c r="N154" s="90" t="s">
        <v>102</v>
      </c>
      <c r="O154" s="90" t="s">
        <v>102</v>
      </c>
      <c r="P154" s="90" t="s">
        <v>582</v>
      </c>
      <c r="Q154" s="90" t="s">
        <v>102</v>
      </c>
      <c r="R154" s="90" t="s">
        <v>102</v>
      </c>
      <c r="S154" s="90" t="s">
        <v>102</v>
      </c>
      <c r="T154" s="90" t="s">
        <v>102</v>
      </c>
      <c r="U154" s="90" t="s">
        <v>102</v>
      </c>
      <c r="V154" s="90" t="s">
        <v>102</v>
      </c>
      <c r="W154" s="90" t="s">
        <v>102</v>
      </c>
      <c r="X154" s="90" t="s">
        <v>102</v>
      </c>
      <c r="Y154" s="90" t="s">
        <v>102</v>
      </c>
      <c r="Z154" s="90" t="s">
        <v>102</v>
      </c>
      <c r="AA154" s="90" t="s">
        <v>102</v>
      </c>
    </row>
    <row r="155" spans="1:27" ht="15" x14ac:dyDescent="0.25">
      <c r="A155" s="88" t="s">
        <v>576</v>
      </c>
      <c r="B155" s="88" t="s">
        <v>176</v>
      </c>
      <c r="C155" s="88" t="s">
        <v>170</v>
      </c>
      <c r="D155" s="90" t="s">
        <v>583</v>
      </c>
      <c r="E155" s="90" t="s">
        <v>102</v>
      </c>
      <c r="F155" s="90" t="s">
        <v>583</v>
      </c>
      <c r="G155" s="90" t="s">
        <v>102</v>
      </c>
      <c r="H155" s="90" t="s">
        <v>584</v>
      </c>
      <c r="I155" s="90" t="s">
        <v>102</v>
      </c>
      <c r="J155" s="90" t="s">
        <v>585</v>
      </c>
      <c r="K155" s="90" t="s">
        <v>585</v>
      </c>
      <c r="L155" s="90" t="s">
        <v>586</v>
      </c>
      <c r="M155" s="90" t="s">
        <v>102</v>
      </c>
      <c r="N155" s="90" t="s">
        <v>102</v>
      </c>
      <c r="O155" s="90" t="s">
        <v>102</v>
      </c>
      <c r="P155" s="90" t="s">
        <v>102</v>
      </c>
      <c r="Q155" s="90" t="s">
        <v>102</v>
      </c>
      <c r="R155" s="90" t="s">
        <v>102</v>
      </c>
      <c r="S155" s="90" t="s">
        <v>102</v>
      </c>
      <c r="T155" s="90" t="s">
        <v>102</v>
      </c>
      <c r="U155" s="90" t="s">
        <v>587</v>
      </c>
      <c r="V155" s="90" t="s">
        <v>102</v>
      </c>
      <c r="W155" s="90" t="s">
        <v>102</v>
      </c>
      <c r="X155" s="90" t="s">
        <v>102</v>
      </c>
      <c r="Y155" s="90" t="s">
        <v>102</v>
      </c>
      <c r="Z155" s="90" t="s">
        <v>102</v>
      </c>
      <c r="AA155" s="90" t="s">
        <v>102</v>
      </c>
    </row>
    <row r="156" spans="1:27" ht="15" x14ac:dyDescent="0.25">
      <c r="A156" s="88" t="s">
        <v>576</v>
      </c>
      <c r="B156" s="88" t="s">
        <v>154</v>
      </c>
      <c r="C156" s="88" t="s">
        <v>170</v>
      </c>
      <c r="D156" s="90" t="s">
        <v>102</v>
      </c>
      <c r="E156" s="90" t="s">
        <v>102</v>
      </c>
      <c r="F156" s="90" t="s">
        <v>588</v>
      </c>
      <c r="G156" s="90" t="s">
        <v>279</v>
      </c>
      <c r="H156" s="90" t="s">
        <v>589</v>
      </c>
      <c r="I156" s="90" t="s">
        <v>102</v>
      </c>
      <c r="J156" s="90" t="s">
        <v>102</v>
      </c>
      <c r="K156" s="90" t="s">
        <v>590</v>
      </c>
      <c r="L156" s="90" t="s">
        <v>102</v>
      </c>
      <c r="M156" s="90" t="s">
        <v>102</v>
      </c>
      <c r="N156" s="90" t="s">
        <v>102</v>
      </c>
      <c r="O156" s="90" t="s">
        <v>102</v>
      </c>
      <c r="P156" s="90" t="s">
        <v>591</v>
      </c>
      <c r="Q156" s="90" t="s">
        <v>102</v>
      </c>
      <c r="R156" s="90" t="s">
        <v>102</v>
      </c>
      <c r="S156" s="90" t="s">
        <v>102</v>
      </c>
      <c r="T156" s="90" t="s">
        <v>102</v>
      </c>
      <c r="U156" s="90" t="s">
        <v>592</v>
      </c>
      <c r="V156" s="90" t="s">
        <v>593</v>
      </c>
      <c r="W156" s="90" t="s">
        <v>102</v>
      </c>
      <c r="X156" s="90" t="s">
        <v>102</v>
      </c>
      <c r="Y156" s="90" t="s">
        <v>102</v>
      </c>
      <c r="Z156" s="90" t="s">
        <v>102</v>
      </c>
      <c r="AA156" s="90" t="s">
        <v>102</v>
      </c>
    </row>
    <row r="157" spans="1:27" ht="15" x14ac:dyDescent="0.25">
      <c r="A157" s="88" t="s">
        <v>594</v>
      </c>
      <c r="B157" s="88" t="s">
        <v>407</v>
      </c>
      <c r="C157" s="88" t="s">
        <v>101</v>
      </c>
      <c r="D157" s="90" t="s">
        <v>102</v>
      </c>
      <c r="E157" s="90" t="s">
        <v>102</v>
      </c>
      <c r="F157" s="90" t="s">
        <v>104</v>
      </c>
      <c r="G157" s="90" t="s">
        <v>102</v>
      </c>
      <c r="H157" s="90" t="s">
        <v>105</v>
      </c>
      <c r="I157" s="90" t="s">
        <v>102</v>
      </c>
      <c r="J157" s="90" t="s">
        <v>138</v>
      </c>
      <c r="K157" s="90" t="s">
        <v>102</v>
      </c>
      <c r="L157" s="90" t="s">
        <v>167</v>
      </c>
      <c r="M157" s="90" t="s">
        <v>102</v>
      </c>
      <c r="N157" s="90" t="s">
        <v>102</v>
      </c>
      <c r="O157" s="90" t="s">
        <v>102</v>
      </c>
      <c r="P157" s="90" t="s">
        <v>102</v>
      </c>
      <c r="Q157" s="90" t="s">
        <v>102</v>
      </c>
      <c r="R157" s="90" t="s">
        <v>102</v>
      </c>
      <c r="S157" s="90" t="s">
        <v>102</v>
      </c>
      <c r="T157" s="90" t="s">
        <v>102</v>
      </c>
      <c r="U157" s="90" t="s">
        <v>102</v>
      </c>
      <c r="V157" s="90" t="s">
        <v>102</v>
      </c>
      <c r="W157" s="90" t="s">
        <v>102</v>
      </c>
      <c r="X157" s="90" t="s">
        <v>102</v>
      </c>
      <c r="Y157" s="90" t="s">
        <v>102</v>
      </c>
      <c r="Z157" s="90" t="s">
        <v>102</v>
      </c>
      <c r="AA157" s="90" t="s">
        <v>102</v>
      </c>
    </row>
    <row r="158" spans="1:27" ht="15" x14ac:dyDescent="0.25">
      <c r="A158" s="88" t="s">
        <v>594</v>
      </c>
      <c r="B158" s="88" t="s">
        <v>549</v>
      </c>
      <c r="C158" s="88" t="s">
        <v>101</v>
      </c>
      <c r="D158" s="90" t="s">
        <v>102</v>
      </c>
      <c r="E158" s="90" t="s">
        <v>102</v>
      </c>
      <c r="F158" s="90" t="s">
        <v>171</v>
      </c>
      <c r="G158" s="90" t="s">
        <v>102</v>
      </c>
      <c r="H158" s="90" t="s">
        <v>195</v>
      </c>
      <c r="I158" s="90" t="s">
        <v>102</v>
      </c>
      <c r="J158" s="90" t="s">
        <v>275</v>
      </c>
      <c r="K158" s="90" t="s">
        <v>102</v>
      </c>
      <c r="L158" s="90" t="s">
        <v>247</v>
      </c>
      <c r="M158" s="90" t="s">
        <v>102</v>
      </c>
      <c r="N158" s="90" t="s">
        <v>102</v>
      </c>
      <c r="O158" s="90" t="s">
        <v>102</v>
      </c>
      <c r="P158" s="90" t="s">
        <v>135</v>
      </c>
      <c r="Q158" s="90" t="s">
        <v>408</v>
      </c>
      <c r="R158" s="90" t="s">
        <v>409</v>
      </c>
      <c r="S158" s="90" t="s">
        <v>102</v>
      </c>
      <c r="T158" s="90" t="s">
        <v>102</v>
      </c>
      <c r="U158" s="90" t="s">
        <v>364</v>
      </c>
      <c r="V158" s="90" t="s">
        <v>102</v>
      </c>
      <c r="W158" s="90" t="s">
        <v>102</v>
      </c>
      <c r="X158" s="90" t="s">
        <v>102</v>
      </c>
      <c r="Y158" s="90" t="s">
        <v>102</v>
      </c>
      <c r="Z158" s="90" t="s">
        <v>102</v>
      </c>
      <c r="AA158" s="90" t="s">
        <v>102</v>
      </c>
    </row>
    <row r="159" spans="1:27" ht="15" x14ac:dyDescent="0.25">
      <c r="A159" s="88" t="s">
        <v>594</v>
      </c>
      <c r="B159" s="88" t="s">
        <v>371</v>
      </c>
      <c r="C159" s="88" t="s">
        <v>101</v>
      </c>
      <c r="D159" s="90" t="s">
        <v>102</v>
      </c>
      <c r="E159" s="90" t="s">
        <v>102</v>
      </c>
      <c r="F159" s="90" t="s">
        <v>171</v>
      </c>
      <c r="G159" s="90" t="s">
        <v>102</v>
      </c>
      <c r="H159" s="90" t="s">
        <v>195</v>
      </c>
      <c r="I159" s="90" t="s">
        <v>102</v>
      </c>
      <c r="J159" s="90" t="s">
        <v>275</v>
      </c>
      <c r="K159" s="90" t="s">
        <v>102</v>
      </c>
      <c r="L159" s="90" t="s">
        <v>247</v>
      </c>
      <c r="M159" s="90" t="s">
        <v>102</v>
      </c>
      <c r="N159" s="90" t="s">
        <v>102</v>
      </c>
      <c r="O159" s="90" t="s">
        <v>102</v>
      </c>
      <c r="P159" s="90" t="s">
        <v>135</v>
      </c>
      <c r="Q159" s="90" t="s">
        <v>408</v>
      </c>
      <c r="R159" s="90" t="s">
        <v>409</v>
      </c>
      <c r="S159" s="90" t="s">
        <v>102</v>
      </c>
      <c r="T159" s="90" t="s">
        <v>102</v>
      </c>
      <c r="U159" s="90" t="s">
        <v>364</v>
      </c>
      <c r="V159" s="90" t="s">
        <v>102</v>
      </c>
      <c r="W159" s="90" t="s">
        <v>102</v>
      </c>
      <c r="X159" s="90" t="s">
        <v>102</v>
      </c>
      <c r="Y159" s="90" t="s">
        <v>102</v>
      </c>
      <c r="Z159" s="90" t="s">
        <v>102</v>
      </c>
      <c r="AA159" s="90" t="s">
        <v>102</v>
      </c>
    </row>
    <row r="160" spans="1:27" ht="15" x14ac:dyDescent="0.25">
      <c r="A160" s="88" t="s">
        <v>594</v>
      </c>
      <c r="B160" s="88" t="s">
        <v>136</v>
      </c>
      <c r="C160" s="88" t="s">
        <v>101</v>
      </c>
      <c r="D160" s="90" t="s">
        <v>116</v>
      </c>
      <c r="E160" s="90" t="s">
        <v>116</v>
      </c>
      <c r="F160" s="90" t="s">
        <v>116</v>
      </c>
      <c r="G160" s="90" t="s">
        <v>157</v>
      </c>
      <c r="H160" s="90" t="s">
        <v>157</v>
      </c>
      <c r="I160" s="90" t="s">
        <v>276</v>
      </c>
      <c r="J160" s="90" t="s">
        <v>276</v>
      </c>
      <c r="K160" s="90" t="s">
        <v>102</v>
      </c>
      <c r="L160" s="90" t="s">
        <v>247</v>
      </c>
      <c r="M160" s="90" t="s">
        <v>102</v>
      </c>
      <c r="N160" s="90" t="s">
        <v>102</v>
      </c>
      <c r="O160" s="90" t="s">
        <v>102</v>
      </c>
      <c r="P160" s="90" t="s">
        <v>164</v>
      </c>
      <c r="Q160" s="90" t="s">
        <v>164</v>
      </c>
      <c r="R160" s="90" t="s">
        <v>164</v>
      </c>
      <c r="S160" s="90" t="s">
        <v>128</v>
      </c>
      <c r="T160" s="90" t="s">
        <v>102</v>
      </c>
      <c r="U160" s="90" t="s">
        <v>143</v>
      </c>
      <c r="V160" s="90" t="s">
        <v>102</v>
      </c>
      <c r="W160" s="90" t="s">
        <v>102</v>
      </c>
      <c r="X160" s="90" t="s">
        <v>102</v>
      </c>
      <c r="Y160" s="90" t="s">
        <v>102</v>
      </c>
      <c r="Z160" s="90" t="s">
        <v>102</v>
      </c>
      <c r="AA160" s="90" t="s">
        <v>102</v>
      </c>
    </row>
    <row r="161" spans="1:27" ht="15" x14ac:dyDescent="0.25">
      <c r="A161" s="88" t="s">
        <v>594</v>
      </c>
      <c r="B161" s="88" t="s">
        <v>137</v>
      </c>
      <c r="C161" s="88" t="s">
        <v>101</v>
      </c>
      <c r="D161" s="90" t="s">
        <v>102</v>
      </c>
      <c r="E161" s="90" t="s">
        <v>102</v>
      </c>
      <c r="F161" s="90" t="s">
        <v>138</v>
      </c>
      <c r="G161" s="90" t="s">
        <v>102</v>
      </c>
      <c r="H161" s="90" t="s">
        <v>139</v>
      </c>
      <c r="I161" s="90" t="s">
        <v>102</v>
      </c>
      <c r="J161" s="90" t="s">
        <v>140</v>
      </c>
      <c r="K161" s="90" t="s">
        <v>102</v>
      </c>
      <c r="L161" s="90" t="s">
        <v>120</v>
      </c>
      <c r="M161" s="90" t="s">
        <v>102</v>
      </c>
      <c r="N161" s="90" t="s">
        <v>102</v>
      </c>
      <c r="O161" s="90" t="s">
        <v>102</v>
      </c>
      <c r="P161" s="90" t="s">
        <v>141</v>
      </c>
      <c r="Q161" s="90" t="s">
        <v>135</v>
      </c>
      <c r="R161" s="90" t="s">
        <v>142</v>
      </c>
      <c r="S161" s="90" t="s">
        <v>102</v>
      </c>
      <c r="T161" s="90" t="s">
        <v>102</v>
      </c>
      <c r="U161" s="90" t="s">
        <v>135</v>
      </c>
      <c r="V161" s="90" t="s">
        <v>102</v>
      </c>
      <c r="W161" s="90" t="s">
        <v>143</v>
      </c>
      <c r="X161" s="90" t="s">
        <v>102</v>
      </c>
      <c r="Y161" s="90" t="s">
        <v>102</v>
      </c>
      <c r="Z161" s="90" t="s">
        <v>102</v>
      </c>
      <c r="AA161" s="90" t="s">
        <v>102</v>
      </c>
    </row>
    <row r="162" spans="1:27" ht="15" x14ac:dyDescent="0.25">
      <c r="A162" s="88" t="s">
        <v>594</v>
      </c>
      <c r="B162" s="88" t="s">
        <v>144</v>
      </c>
      <c r="C162" s="88" t="s">
        <v>101</v>
      </c>
      <c r="D162" s="90" t="s">
        <v>102</v>
      </c>
      <c r="E162" s="90" t="s">
        <v>102</v>
      </c>
      <c r="F162" s="90" t="s">
        <v>171</v>
      </c>
      <c r="G162" s="90" t="s">
        <v>102</v>
      </c>
      <c r="H162" s="90" t="s">
        <v>195</v>
      </c>
      <c r="I162" s="90" t="s">
        <v>102</v>
      </c>
      <c r="J162" s="90" t="s">
        <v>275</v>
      </c>
      <c r="K162" s="90" t="s">
        <v>102</v>
      </c>
      <c r="L162" s="90" t="s">
        <v>247</v>
      </c>
      <c r="M162" s="90" t="s">
        <v>102</v>
      </c>
      <c r="N162" s="90" t="s">
        <v>102</v>
      </c>
      <c r="O162" s="90" t="s">
        <v>102</v>
      </c>
      <c r="P162" s="90" t="s">
        <v>135</v>
      </c>
      <c r="Q162" s="90" t="s">
        <v>408</v>
      </c>
      <c r="R162" s="90" t="s">
        <v>409</v>
      </c>
      <c r="S162" s="90" t="s">
        <v>102</v>
      </c>
      <c r="T162" s="90" t="s">
        <v>102</v>
      </c>
      <c r="U162" s="90" t="s">
        <v>364</v>
      </c>
      <c r="V162" s="90" t="s">
        <v>102</v>
      </c>
      <c r="W162" s="90" t="s">
        <v>102</v>
      </c>
      <c r="X162" s="90" t="s">
        <v>102</v>
      </c>
      <c r="Y162" s="90" t="s">
        <v>102</v>
      </c>
      <c r="Z162" s="90" t="s">
        <v>102</v>
      </c>
      <c r="AA162" s="90" t="s">
        <v>102</v>
      </c>
    </row>
    <row r="163" spans="1:27" ht="15" x14ac:dyDescent="0.25">
      <c r="A163" s="88" t="s">
        <v>594</v>
      </c>
      <c r="B163" s="88" t="s">
        <v>154</v>
      </c>
      <c r="C163" s="88" t="s">
        <v>101</v>
      </c>
      <c r="D163" s="90" t="s">
        <v>102</v>
      </c>
      <c r="E163" s="90" t="s">
        <v>102</v>
      </c>
      <c r="F163" s="90" t="s">
        <v>147</v>
      </c>
      <c r="G163" s="90" t="s">
        <v>102</v>
      </c>
      <c r="H163" s="90" t="s">
        <v>150</v>
      </c>
      <c r="I163" s="90" t="s">
        <v>102</v>
      </c>
      <c r="J163" s="90" t="s">
        <v>155</v>
      </c>
      <c r="K163" s="90" t="s">
        <v>102</v>
      </c>
      <c r="L163" s="90" t="s">
        <v>134</v>
      </c>
      <c r="M163" s="90" t="s">
        <v>102</v>
      </c>
      <c r="N163" s="90" t="s">
        <v>102</v>
      </c>
      <c r="O163" s="90" t="s">
        <v>102</v>
      </c>
      <c r="P163" s="90" t="s">
        <v>156</v>
      </c>
      <c r="Q163" s="90" t="s">
        <v>157</v>
      </c>
      <c r="R163" s="90" t="s">
        <v>158</v>
      </c>
      <c r="S163" s="90" t="s">
        <v>159</v>
      </c>
      <c r="T163" s="90" t="s">
        <v>141</v>
      </c>
      <c r="U163" s="90" t="s">
        <v>153</v>
      </c>
      <c r="V163" s="90" t="s">
        <v>102</v>
      </c>
      <c r="W163" s="90" t="s">
        <v>153</v>
      </c>
      <c r="X163" s="90" t="s">
        <v>102</v>
      </c>
      <c r="Y163" s="90" t="s">
        <v>157</v>
      </c>
      <c r="Z163" s="90" t="s">
        <v>102</v>
      </c>
      <c r="AA163" s="90" t="s">
        <v>108</v>
      </c>
    </row>
    <row r="164" spans="1:27" ht="15" x14ac:dyDescent="0.25">
      <c r="A164" s="88" t="s">
        <v>595</v>
      </c>
      <c r="B164" s="88" t="s">
        <v>407</v>
      </c>
      <c r="C164" s="88" t="s">
        <v>596</v>
      </c>
      <c r="D164" s="90" t="s">
        <v>533</v>
      </c>
      <c r="E164" s="90" t="s">
        <v>102</v>
      </c>
      <c r="F164" s="90" t="s">
        <v>533</v>
      </c>
      <c r="G164" s="90" t="s">
        <v>102</v>
      </c>
      <c r="H164" s="90" t="s">
        <v>533</v>
      </c>
      <c r="I164" s="90" t="s">
        <v>102</v>
      </c>
      <c r="J164" s="90" t="s">
        <v>597</v>
      </c>
      <c r="K164" s="90" t="s">
        <v>597</v>
      </c>
      <c r="L164" s="90" t="s">
        <v>364</v>
      </c>
      <c r="M164" s="90" t="s">
        <v>102</v>
      </c>
      <c r="N164" s="90" t="s">
        <v>102</v>
      </c>
      <c r="O164" s="90" t="s">
        <v>102</v>
      </c>
      <c r="P164" s="90" t="s">
        <v>102</v>
      </c>
      <c r="Q164" s="90" t="s">
        <v>102</v>
      </c>
      <c r="R164" s="90" t="s">
        <v>102</v>
      </c>
      <c r="S164" s="90" t="s">
        <v>102</v>
      </c>
      <c r="T164" s="90" t="s">
        <v>102</v>
      </c>
      <c r="U164" s="90" t="s">
        <v>102</v>
      </c>
      <c r="V164" s="90" t="s">
        <v>102</v>
      </c>
      <c r="W164" s="90" t="s">
        <v>102</v>
      </c>
      <c r="X164" s="90" t="s">
        <v>102</v>
      </c>
      <c r="Y164" s="90" t="s">
        <v>102</v>
      </c>
      <c r="Z164" s="90" t="s">
        <v>102</v>
      </c>
      <c r="AA164" s="90" t="s">
        <v>102</v>
      </c>
    </row>
    <row r="165" spans="1:27" ht="15" x14ac:dyDescent="0.25">
      <c r="A165" s="88" t="s">
        <v>595</v>
      </c>
      <c r="B165" s="88" t="s">
        <v>169</v>
      </c>
      <c r="C165" s="88" t="s">
        <v>596</v>
      </c>
      <c r="D165" s="90" t="s">
        <v>102</v>
      </c>
      <c r="E165" s="90" t="s">
        <v>102</v>
      </c>
      <c r="F165" s="90" t="s">
        <v>195</v>
      </c>
      <c r="G165" s="90" t="s">
        <v>102</v>
      </c>
      <c r="H165" s="90" t="s">
        <v>388</v>
      </c>
      <c r="I165" s="90" t="s">
        <v>102</v>
      </c>
      <c r="J165" s="90" t="s">
        <v>141</v>
      </c>
      <c r="K165" s="90" t="s">
        <v>110</v>
      </c>
      <c r="L165" s="90" t="s">
        <v>110</v>
      </c>
      <c r="M165" s="90" t="s">
        <v>312</v>
      </c>
      <c r="N165" s="90" t="s">
        <v>102</v>
      </c>
      <c r="O165" s="90" t="s">
        <v>102</v>
      </c>
      <c r="P165" s="90" t="s">
        <v>102</v>
      </c>
      <c r="Q165" s="90" t="s">
        <v>135</v>
      </c>
      <c r="R165" s="90" t="s">
        <v>598</v>
      </c>
      <c r="S165" s="90" t="s">
        <v>599</v>
      </c>
      <c r="T165" s="90" t="s">
        <v>102</v>
      </c>
      <c r="U165" s="90" t="s">
        <v>102</v>
      </c>
      <c r="V165" s="90" t="s">
        <v>102</v>
      </c>
      <c r="W165" s="90" t="s">
        <v>102</v>
      </c>
      <c r="X165" s="90" t="s">
        <v>102</v>
      </c>
      <c r="Y165" s="90" t="s">
        <v>102</v>
      </c>
      <c r="Z165" s="90" t="s">
        <v>102</v>
      </c>
      <c r="AA165" s="90" t="s">
        <v>102</v>
      </c>
    </row>
    <row r="166" spans="1:27" ht="15" x14ac:dyDescent="0.25">
      <c r="A166" s="88" t="s">
        <v>600</v>
      </c>
      <c r="B166" s="88" t="s">
        <v>601</v>
      </c>
      <c r="C166" s="88" t="s">
        <v>101</v>
      </c>
      <c r="D166" s="90" t="s">
        <v>229</v>
      </c>
      <c r="E166" s="90" t="s">
        <v>102</v>
      </c>
      <c r="F166" s="90" t="s">
        <v>229</v>
      </c>
      <c r="G166" s="90" t="s">
        <v>102</v>
      </c>
      <c r="H166" s="90" t="s">
        <v>280</v>
      </c>
      <c r="I166" s="90" t="s">
        <v>102</v>
      </c>
      <c r="J166" s="90" t="s">
        <v>119</v>
      </c>
      <c r="K166" s="90" t="s">
        <v>119</v>
      </c>
      <c r="L166" s="90" t="s">
        <v>281</v>
      </c>
      <c r="M166" s="90" t="s">
        <v>102</v>
      </c>
      <c r="N166" s="90" t="s">
        <v>102</v>
      </c>
      <c r="O166" s="90" t="s">
        <v>102</v>
      </c>
      <c r="P166" s="90" t="s">
        <v>150</v>
      </c>
      <c r="Q166" s="90" t="s">
        <v>102</v>
      </c>
      <c r="R166" s="90" t="s">
        <v>102</v>
      </c>
      <c r="S166" s="90" t="s">
        <v>102</v>
      </c>
      <c r="T166" s="90" t="s">
        <v>102</v>
      </c>
      <c r="U166" s="90" t="s">
        <v>104</v>
      </c>
      <c r="V166" s="90" t="s">
        <v>102</v>
      </c>
      <c r="W166" s="90" t="s">
        <v>102</v>
      </c>
      <c r="X166" s="90" t="s">
        <v>102</v>
      </c>
      <c r="Y166" s="90" t="s">
        <v>102</v>
      </c>
      <c r="Z166" s="90" t="s">
        <v>102</v>
      </c>
      <c r="AA166" s="90" t="s">
        <v>102</v>
      </c>
    </row>
    <row r="167" spans="1:27" ht="15" x14ac:dyDescent="0.25">
      <c r="A167" s="88" t="s">
        <v>600</v>
      </c>
      <c r="B167" s="88" t="s">
        <v>335</v>
      </c>
      <c r="C167" s="88" t="s">
        <v>101</v>
      </c>
      <c r="D167" s="90" t="s">
        <v>191</v>
      </c>
      <c r="E167" s="90" t="s">
        <v>102</v>
      </c>
      <c r="F167" s="90" t="s">
        <v>185</v>
      </c>
      <c r="G167" s="90" t="s">
        <v>102</v>
      </c>
      <c r="H167" s="90" t="s">
        <v>280</v>
      </c>
      <c r="I167" s="90" t="s">
        <v>102</v>
      </c>
      <c r="J167" s="90" t="s">
        <v>113</v>
      </c>
      <c r="K167" s="90" t="s">
        <v>602</v>
      </c>
      <c r="L167" s="90" t="s">
        <v>188</v>
      </c>
      <c r="M167" s="90" t="s">
        <v>102</v>
      </c>
      <c r="N167" s="90" t="s">
        <v>102</v>
      </c>
      <c r="O167" s="90" t="s">
        <v>102</v>
      </c>
      <c r="P167" s="90" t="s">
        <v>102</v>
      </c>
      <c r="Q167" s="90" t="s">
        <v>102</v>
      </c>
      <c r="R167" s="90" t="s">
        <v>102</v>
      </c>
      <c r="S167" s="90" t="s">
        <v>102</v>
      </c>
      <c r="T167" s="90" t="s">
        <v>102</v>
      </c>
      <c r="U167" s="90" t="s">
        <v>102</v>
      </c>
      <c r="V167" s="90" t="s">
        <v>102</v>
      </c>
      <c r="W167" s="90" t="s">
        <v>102</v>
      </c>
      <c r="X167" s="90" t="s">
        <v>102</v>
      </c>
      <c r="Y167" s="90" t="s">
        <v>102</v>
      </c>
      <c r="Z167" s="90" t="s">
        <v>102</v>
      </c>
      <c r="AA167" s="90" t="s">
        <v>102</v>
      </c>
    </row>
    <row r="168" spans="1:27" ht="15" x14ac:dyDescent="0.25">
      <c r="A168" s="88" t="s">
        <v>600</v>
      </c>
      <c r="B168" s="88" t="s">
        <v>154</v>
      </c>
      <c r="C168" s="88" t="s">
        <v>101</v>
      </c>
      <c r="D168" s="90" t="s">
        <v>102</v>
      </c>
      <c r="E168" s="90" t="s">
        <v>231</v>
      </c>
      <c r="F168" s="90" t="s">
        <v>102</v>
      </c>
      <c r="G168" s="90" t="s">
        <v>192</v>
      </c>
      <c r="H168" s="90" t="s">
        <v>336</v>
      </c>
      <c r="I168" s="90" t="s">
        <v>336</v>
      </c>
      <c r="J168" s="90" t="s">
        <v>372</v>
      </c>
      <c r="K168" s="90" t="s">
        <v>102</v>
      </c>
      <c r="L168" s="90" t="s">
        <v>155</v>
      </c>
      <c r="M168" s="90" t="s">
        <v>102</v>
      </c>
      <c r="N168" s="90" t="s">
        <v>102</v>
      </c>
      <c r="O168" s="90" t="s">
        <v>102</v>
      </c>
      <c r="P168" s="90" t="s">
        <v>195</v>
      </c>
      <c r="Q168" s="90" t="s">
        <v>102</v>
      </c>
      <c r="R168" s="90" t="s">
        <v>102</v>
      </c>
      <c r="S168" s="90" t="s">
        <v>102</v>
      </c>
      <c r="T168" s="90" t="s">
        <v>102</v>
      </c>
      <c r="U168" s="90" t="s">
        <v>372</v>
      </c>
      <c r="V168" s="90" t="s">
        <v>102</v>
      </c>
      <c r="W168" s="90" t="s">
        <v>102</v>
      </c>
      <c r="X168" s="90" t="s">
        <v>102</v>
      </c>
      <c r="Y168" s="90" t="s">
        <v>102</v>
      </c>
      <c r="Z168" s="90" t="s">
        <v>102</v>
      </c>
      <c r="AA168" s="90" t="s">
        <v>102</v>
      </c>
    </row>
    <row r="169" spans="1:27" ht="15" x14ac:dyDescent="0.25">
      <c r="A169" s="88" t="s">
        <v>603</v>
      </c>
      <c r="B169" s="88" t="s">
        <v>407</v>
      </c>
      <c r="C169" s="88" t="s">
        <v>101</v>
      </c>
      <c r="D169" s="90" t="s">
        <v>413</v>
      </c>
      <c r="E169" s="90" t="s">
        <v>102</v>
      </c>
      <c r="F169" s="90" t="s">
        <v>413</v>
      </c>
      <c r="G169" s="90" t="s">
        <v>102</v>
      </c>
      <c r="H169" s="90" t="s">
        <v>413</v>
      </c>
      <c r="I169" s="90" t="s">
        <v>102</v>
      </c>
      <c r="J169" s="90" t="s">
        <v>133</v>
      </c>
      <c r="K169" s="90" t="s">
        <v>133</v>
      </c>
      <c r="L169" s="90" t="s">
        <v>138</v>
      </c>
      <c r="M169" s="90" t="s">
        <v>102</v>
      </c>
      <c r="N169" s="90" t="s">
        <v>102</v>
      </c>
      <c r="O169" s="90" t="s">
        <v>102</v>
      </c>
      <c r="P169" s="90" t="s">
        <v>135</v>
      </c>
      <c r="Q169" s="90" t="s">
        <v>102</v>
      </c>
      <c r="R169" s="90" t="s">
        <v>102</v>
      </c>
      <c r="S169" s="90" t="s">
        <v>102</v>
      </c>
      <c r="T169" s="90" t="s">
        <v>102</v>
      </c>
      <c r="U169" s="90" t="s">
        <v>364</v>
      </c>
      <c r="V169" s="90" t="s">
        <v>102</v>
      </c>
      <c r="W169" s="90" t="s">
        <v>102</v>
      </c>
      <c r="X169" s="90" t="s">
        <v>102</v>
      </c>
      <c r="Y169" s="90" t="s">
        <v>102</v>
      </c>
      <c r="Z169" s="90" t="s">
        <v>102</v>
      </c>
      <c r="AA169" s="90" t="s">
        <v>102</v>
      </c>
    </row>
    <row r="170" spans="1:27" ht="15" x14ac:dyDescent="0.25">
      <c r="A170" s="88" t="s">
        <v>604</v>
      </c>
      <c r="B170" s="88" t="s">
        <v>407</v>
      </c>
      <c r="C170" s="88" t="s">
        <v>101</v>
      </c>
      <c r="D170" s="90" t="s">
        <v>413</v>
      </c>
      <c r="E170" s="90" t="s">
        <v>102</v>
      </c>
      <c r="F170" s="90" t="s">
        <v>413</v>
      </c>
      <c r="G170" s="90" t="s">
        <v>102</v>
      </c>
      <c r="H170" s="90" t="s">
        <v>413</v>
      </c>
      <c r="I170" s="90" t="s">
        <v>102</v>
      </c>
      <c r="J170" s="90" t="s">
        <v>133</v>
      </c>
      <c r="K170" s="90" t="s">
        <v>133</v>
      </c>
      <c r="L170" s="90" t="s">
        <v>138</v>
      </c>
      <c r="M170" s="90" t="s">
        <v>102</v>
      </c>
      <c r="N170" s="90" t="s">
        <v>102</v>
      </c>
      <c r="O170" s="90" t="s">
        <v>102</v>
      </c>
      <c r="P170" s="90" t="s">
        <v>135</v>
      </c>
      <c r="Q170" s="90" t="s">
        <v>102</v>
      </c>
      <c r="R170" s="90" t="s">
        <v>102</v>
      </c>
      <c r="S170" s="90" t="s">
        <v>102</v>
      </c>
      <c r="T170" s="90" t="s">
        <v>102</v>
      </c>
      <c r="U170" s="90" t="s">
        <v>364</v>
      </c>
      <c r="V170" s="90" t="s">
        <v>102</v>
      </c>
      <c r="W170" s="90" t="s">
        <v>102</v>
      </c>
      <c r="X170" s="90" t="s">
        <v>102</v>
      </c>
      <c r="Y170" s="90" t="s">
        <v>102</v>
      </c>
      <c r="Z170" s="90" t="s">
        <v>102</v>
      </c>
      <c r="AA170" s="90" t="s">
        <v>102</v>
      </c>
    </row>
    <row r="171" spans="1:27" ht="15" x14ac:dyDescent="0.25">
      <c r="A171" s="88" t="s">
        <v>605</v>
      </c>
      <c r="B171" s="88" t="s">
        <v>407</v>
      </c>
      <c r="C171" s="88" t="s">
        <v>101</v>
      </c>
      <c r="D171" s="90" t="s">
        <v>372</v>
      </c>
      <c r="E171" s="90" t="s">
        <v>102</v>
      </c>
      <c r="F171" s="90" t="s">
        <v>372</v>
      </c>
      <c r="G171" s="90" t="s">
        <v>102</v>
      </c>
      <c r="H171" s="90" t="s">
        <v>368</v>
      </c>
      <c r="I171" s="90" t="s">
        <v>102</v>
      </c>
      <c r="J171" s="90" t="s">
        <v>489</v>
      </c>
      <c r="K171" s="90" t="s">
        <v>489</v>
      </c>
      <c r="L171" s="90" t="s">
        <v>131</v>
      </c>
      <c r="M171" s="90" t="s">
        <v>102</v>
      </c>
      <c r="N171" s="90" t="s">
        <v>102</v>
      </c>
      <c r="O171" s="90" t="s">
        <v>102</v>
      </c>
      <c r="P171" s="90" t="s">
        <v>102</v>
      </c>
      <c r="Q171" s="90" t="s">
        <v>102</v>
      </c>
      <c r="R171" s="90" t="s">
        <v>102</v>
      </c>
      <c r="S171" s="90" t="s">
        <v>102</v>
      </c>
      <c r="T171" s="90" t="s">
        <v>102</v>
      </c>
      <c r="U171" s="90" t="s">
        <v>102</v>
      </c>
      <c r="V171" s="90" t="s">
        <v>102</v>
      </c>
      <c r="W171" s="90" t="s">
        <v>102</v>
      </c>
      <c r="X171" s="90" t="s">
        <v>102</v>
      </c>
      <c r="Y171" s="90" t="s">
        <v>102</v>
      </c>
      <c r="Z171" s="90" t="s">
        <v>102</v>
      </c>
      <c r="AA171" s="90" t="s">
        <v>102</v>
      </c>
    </row>
    <row r="172" spans="1:27" ht="15" x14ac:dyDescent="0.25">
      <c r="A172" s="88" t="s">
        <v>606</v>
      </c>
      <c r="B172" s="88" t="s">
        <v>407</v>
      </c>
      <c r="C172" s="88" t="s">
        <v>170</v>
      </c>
      <c r="D172" s="90" t="s">
        <v>229</v>
      </c>
      <c r="E172" s="90" t="s">
        <v>102</v>
      </c>
      <c r="F172" s="90" t="s">
        <v>229</v>
      </c>
      <c r="G172" s="90" t="s">
        <v>102</v>
      </c>
      <c r="H172" s="90" t="s">
        <v>280</v>
      </c>
      <c r="I172" s="90" t="s">
        <v>102</v>
      </c>
      <c r="J172" s="90" t="s">
        <v>119</v>
      </c>
      <c r="K172" s="90" t="s">
        <v>119</v>
      </c>
      <c r="L172" s="90" t="s">
        <v>281</v>
      </c>
      <c r="M172" s="90" t="s">
        <v>102</v>
      </c>
      <c r="N172" s="90" t="s">
        <v>102</v>
      </c>
      <c r="O172" s="90" t="s">
        <v>102</v>
      </c>
      <c r="P172" s="90" t="s">
        <v>102</v>
      </c>
      <c r="Q172" s="90" t="s">
        <v>102</v>
      </c>
      <c r="R172" s="90" t="s">
        <v>102</v>
      </c>
      <c r="S172" s="90" t="s">
        <v>102</v>
      </c>
      <c r="T172" s="90" t="s">
        <v>102</v>
      </c>
      <c r="U172" s="90" t="s">
        <v>102</v>
      </c>
      <c r="V172" s="90" t="s">
        <v>102</v>
      </c>
      <c r="W172" s="90" t="s">
        <v>102</v>
      </c>
      <c r="X172" s="90" t="s">
        <v>102</v>
      </c>
      <c r="Y172" s="90" t="s">
        <v>102</v>
      </c>
      <c r="Z172" s="90" t="s">
        <v>102</v>
      </c>
      <c r="AA172" s="90" t="s">
        <v>102</v>
      </c>
    </row>
    <row r="173" spans="1:27" ht="15" x14ac:dyDescent="0.25">
      <c r="A173" s="88" t="s">
        <v>607</v>
      </c>
      <c r="B173" s="88" t="s">
        <v>407</v>
      </c>
      <c r="C173" s="88" t="s">
        <v>274</v>
      </c>
      <c r="D173" s="90" t="s">
        <v>275</v>
      </c>
      <c r="E173" s="90" t="s">
        <v>102</v>
      </c>
      <c r="F173" s="90" t="s">
        <v>275</v>
      </c>
      <c r="G173" s="90" t="s">
        <v>102</v>
      </c>
      <c r="H173" s="90" t="s">
        <v>276</v>
      </c>
      <c r="I173" s="90" t="s">
        <v>102</v>
      </c>
      <c r="J173" s="90" t="s">
        <v>156</v>
      </c>
      <c r="K173" s="90" t="s">
        <v>156</v>
      </c>
      <c r="L173" s="90" t="s">
        <v>141</v>
      </c>
      <c r="M173" s="90" t="s">
        <v>102</v>
      </c>
      <c r="N173" s="90" t="s">
        <v>102</v>
      </c>
      <c r="O173" s="90" t="s">
        <v>102</v>
      </c>
      <c r="P173" s="90" t="s">
        <v>102</v>
      </c>
      <c r="Q173" s="90" t="s">
        <v>102</v>
      </c>
      <c r="R173" s="90" t="s">
        <v>102</v>
      </c>
      <c r="S173" s="90" t="s">
        <v>102</v>
      </c>
      <c r="T173" s="90" t="s">
        <v>102</v>
      </c>
      <c r="U173" s="90" t="s">
        <v>102</v>
      </c>
      <c r="V173" s="90" t="s">
        <v>102</v>
      </c>
      <c r="W173" s="90" t="s">
        <v>102</v>
      </c>
      <c r="X173" s="90" t="s">
        <v>102</v>
      </c>
      <c r="Y173" s="90" t="s">
        <v>102</v>
      </c>
      <c r="Z173" s="90" t="s">
        <v>102</v>
      </c>
      <c r="AA173" s="90" t="s">
        <v>102</v>
      </c>
    </row>
    <row r="174" spans="1:27" ht="15" x14ac:dyDescent="0.25">
      <c r="A174" s="88" t="s">
        <v>608</v>
      </c>
      <c r="B174" s="88" t="s">
        <v>407</v>
      </c>
      <c r="C174" s="88" t="s">
        <v>101</v>
      </c>
      <c r="D174" s="90" t="s">
        <v>413</v>
      </c>
      <c r="E174" s="90" t="s">
        <v>102</v>
      </c>
      <c r="F174" s="90" t="s">
        <v>413</v>
      </c>
      <c r="G174" s="90" t="s">
        <v>102</v>
      </c>
      <c r="H174" s="90" t="s">
        <v>413</v>
      </c>
      <c r="I174" s="90" t="s">
        <v>102</v>
      </c>
      <c r="J174" s="90" t="s">
        <v>133</v>
      </c>
      <c r="K174" s="90" t="s">
        <v>133</v>
      </c>
      <c r="L174" s="90" t="s">
        <v>138</v>
      </c>
      <c r="M174" s="90" t="s">
        <v>102</v>
      </c>
      <c r="N174" s="90" t="s">
        <v>102</v>
      </c>
      <c r="O174" s="90" t="s">
        <v>102</v>
      </c>
      <c r="P174" s="90" t="s">
        <v>135</v>
      </c>
      <c r="Q174" s="90" t="s">
        <v>102</v>
      </c>
      <c r="R174" s="90" t="s">
        <v>102</v>
      </c>
      <c r="S174" s="90" t="s">
        <v>102</v>
      </c>
      <c r="T174" s="90" t="s">
        <v>102</v>
      </c>
      <c r="U174" s="90" t="s">
        <v>364</v>
      </c>
      <c r="V174" s="90" t="s">
        <v>102</v>
      </c>
      <c r="W174" s="90" t="s">
        <v>102</v>
      </c>
      <c r="X174" s="90" t="s">
        <v>102</v>
      </c>
      <c r="Y174" s="90" t="s">
        <v>102</v>
      </c>
      <c r="Z174" s="90" t="s">
        <v>102</v>
      </c>
      <c r="AA174" s="90" t="s">
        <v>102</v>
      </c>
    </row>
    <row r="175" spans="1:27" ht="15" x14ac:dyDescent="0.25">
      <c r="A175" s="88" t="s">
        <v>609</v>
      </c>
      <c r="B175" s="88" t="s">
        <v>154</v>
      </c>
      <c r="C175" s="88" t="s">
        <v>610</v>
      </c>
      <c r="D175" s="90" t="s">
        <v>102</v>
      </c>
      <c r="E175" s="90" t="s">
        <v>102</v>
      </c>
      <c r="F175" s="90" t="s">
        <v>611</v>
      </c>
      <c r="G175" s="90" t="s">
        <v>102</v>
      </c>
      <c r="H175" s="90" t="s">
        <v>612</v>
      </c>
      <c r="I175" s="90" t="s">
        <v>102</v>
      </c>
      <c r="J175" s="90" t="s">
        <v>102</v>
      </c>
      <c r="K175" s="90" t="s">
        <v>613</v>
      </c>
      <c r="L175" s="90" t="s">
        <v>102</v>
      </c>
      <c r="M175" s="90" t="s">
        <v>102</v>
      </c>
      <c r="N175" s="90" t="s">
        <v>102</v>
      </c>
      <c r="O175" s="90" t="s">
        <v>102</v>
      </c>
      <c r="P175" s="90" t="s">
        <v>614</v>
      </c>
      <c r="Q175" s="90" t="s">
        <v>615</v>
      </c>
      <c r="R175" s="90" t="s">
        <v>616</v>
      </c>
      <c r="S175" s="90" t="s">
        <v>102</v>
      </c>
      <c r="T175" s="90" t="s">
        <v>102</v>
      </c>
      <c r="U175" s="90" t="s">
        <v>102</v>
      </c>
      <c r="V175" s="90" t="s">
        <v>617</v>
      </c>
      <c r="W175" s="90" t="s">
        <v>102</v>
      </c>
      <c r="X175" s="90" t="s">
        <v>102</v>
      </c>
      <c r="Y175" s="90" t="s">
        <v>102</v>
      </c>
      <c r="Z175" s="90" t="s">
        <v>102</v>
      </c>
      <c r="AA175" s="90" t="s">
        <v>102</v>
      </c>
    </row>
    <row r="176" spans="1:27" ht="15" x14ac:dyDescent="0.25">
      <c r="A176" s="88" t="s">
        <v>618</v>
      </c>
      <c r="B176" s="88" t="s">
        <v>154</v>
      </c>
      <c r="C176" s="88" t="s">
        <v>170</v>
      </c>
      <c r="D176" s="90" t="s">
        <v>102</v>
      </c>
      <c r="E176" s="90" t="s">
        <v>102</v>
      </c>
      <c r="F176" s="90" t="s">
        <v>102</v>
      </c>
      <c r="G176" s="90" t="s">
        <v>102</v>
      </c>
      <c r="H176" s="90" t="s">
        <v>195</v>
      </c>
      <c r="I176" s="90" t="s">
        <v>102</v>
      </c>
      <c r="J176" s="90" t="s">
        <v>157</v>
      </c>
      <c r="K176" s="90" t="s">
        <v>102</v>
      </c>
      <c r="L176" s="90" t="s">
        <v>135</v>
      </c>
      <c r="M176" s="90" t="s">
        <v>102</v>
      </c>
      <c r="N176" s="90" t="s">
        <v>102</v>
      </c>
      <c r="O176" s="90" t="s">
        <v>157</v>
      </c>
      <c r="P176" s="90" t="s">
        <v>102</v>
      </c>
      <c r="Q176" s="90" t="s">
        <v>102</v>
      </c>
      <c r="R176" s="90" t="s">
        <v>102</v>
      </c>
      <c r="S176" s="90" t="s">
        <v>102</v>
      </c>
      <c r="T176" s="90" t="s">
        <v>102</v>
      </c>
      <c r="U176" s="90" t="s">
        <v>102</v>
      </c>
      <c r="V176" s="90" t="s">
        <v>102</v>
      </c>
      <c r="W176" s="90" t="s">
        <v>102</v>
      </c>
      <c r="X176" s="90" t="s">
        <v>102</v>
      </c>
      <c r="Y176" s="90" t="s">
        <v>102</v>
      </c>
      <c r="Z176" s="90" t="s">
        <v>102</v>
      </c>
      <c r="AA176" s="90" t="s">
        <v>102</v>
      </c>
    </row>
    <row r="177" spans="1:27" ht="15" x14ac:dyDescent="0.25">
      <c r="A177" s="88" t="s">
        <v>619</v>
      </c>
      <c r="B177" s="88" t="s">
        <v>407</v>
      </c>
      <c r="C177" s="88" t="s">
        <v>170</v>
      </c>
      <c r="D177" s="90" t="s">
        <v>229</v>
      </c>
      <c r="E177" s="90" t="s">
        <v>102</v>
      </c>
      <c r="F177" s="90" t="s">
        <v>229</v>
      </c>
      <c r="G177" s="90" t="s">
        <v>102</v>
      </c>
      <c r="H177" s="90" t="s">
        <v>280</v>
      </c>
      <c r="I177" s="90" t="s">
        <v>102</v>
      </c>
      <c r="J177" s="90" t="s">
        <v>119</v>
      </c>
      <c r="K177" s="90" t="s">
        <v>119</v>
      </c>
      <c r="L177" s="90" t="s">
        <v>281</v>
      </c>
      <c r="M177" s="90" t="s">
        <v>102</v>
      </c>
      <c r="N177" s="90" t="s">
        <v>102</v>
      </c>
      <c r="O177" s="90" t="s">
        <v>102</v>
      </c>
      <c r="P177" s="90" t="s">
        <v>102</v>
      </c>
      <c r="Q177" s="90" t="s">
        <v>102</v>
      </c>
      <c r="R177" s="90" t="s">
        <v>102</v>
      </c>
      <c r="S177" s="90" t="s">
        <v>102</v>
      </c>
      <c r="T177" s="90" t="s">
        <v>102</v>
      </c>
      <c r="U177" s="90" t="s">
        <v>102</v>
      </c>
      <c r="V177" s="90" t="s">
        <v>102</v>
      </c>
      <c r="W177" s="90" t="s">
        <v>102</v>
      </c>
      <c r="X177" s="90" t="s">
        <v>102</v>
      </c>
      <c r="Y177" s="90" t="s">
        <v>102</v>
      </c>
      <c r="Z177" s="90" t="s">
        <v>102</v>
      </c>
      <c r="AA177" s="90" t="s">
        <v>102</v>
      </c>
    </row>
    <row r="178" spans="1:27" ht="15" x14ac:dyDescent="0.25">
      <c r="A178" s="88" t="s">
        <v>619</v>
      </c>
      <c r="B178" s="88" t="s">
        <v>169</v>
      </c>
      <c r="C178" s="88" t="s">
        <v>170</v>
      </c>
      <c r="D178" s="90" t="s">
        <v>102</v>
      </c>
      <c r="E178" s="90" t="s">
        <v>372</v>
      </c>
      <c r="F178" s="90" t="s">
        <v>372</v>
      </c>
      <c r="G178" s="90" t="s">
        <v>387</v>
      </c>
      <c r="H178" s="90" t="s">
        <v>387</v>
      </c>
      <c r="I178" s="90" t="s">
        <v>338</v>
      </c>
      <c r="J178" s="90" t="s">
        <v>338</v>
      </c>
      <c r="K178" s="90" t="s">
        <v>103</v>
      </c>
      <c r="L178" s="90" t="s">
        <v>103</v>
      </c>
      <c r="M178" s="90" t="s">
        <v>102</v>
      </c>
      <c r="N178" s="90" t="s">
        <v>102</v>
      </c>
      <c r="O178" s="90" t="s">
        <v>102</v>
      </c>
      <c r="P178" s="90" t="s">
        <v>102</v>
      </c>
      <c r="Q178" s="90" t="s">
        <v>102</v>
      </c>
      <c r="R178" s="90" t="s">
        <v>102</v>
      </c>
      <c r="S178" s="90" t="s">
        <v>102</v>
      </c>
      <c r="T178" s="90" t="s">
        <v>102</v>
      </c>
      <c r="U178" s="90" t="s">
        <v>188</v>
      </c>
      <c r="V178" s="90" t="s">
        <v>102</v>
      </c>
      <c r="W178" s="90" t="s">
        <v>102</v>
      </c>
      <c r="X178" s="90" t="s">
        <v>102</v>
      </c>
      <c r="Y178" s="90" t="s">
        <v>102</v>
      </c>
      <c r="Z178" s="90" t="s">
        <v>102</v>
      </c>
      <c r="AA178" s="90" t="s">
        <v>102</v>
      </c>
    </row>
    <row r="179" spans="1:27" ht="15" x14ac:dyDescent="0.25">
      <c r="A179" s="88" t="s">
        <v>620</v>
      </c>
      <c r="B179" s="88" t="s">
        <v>154</v>
      </c>
      <c r="C179" s="88" t="s">
        <v>621</v>
      </c>
      <c r="D179" s="90" t="s">
        <v>102</v>
      </c>
      <c r="E179" s="90" t="s">
        <v>102</v>
      </c>
      <c r="F179" s="90" t="s">
        <v>195</v>
      </c>
      <c r="G179" s="90" t="s">
        <v>102</v>
      </c>
      <c r="H179" s="90" t="s">
        <v>174</v>
      </c>
      <c r="I179" s="90" t="s">
        <v>102</v>
      </c>
      <c r="J179" s="90" t="s">
        <v>342</v>
      </c>
      <c r="K179" s="90" t="s">
        <v>158</v>
      </c>
      <c r="L179" s="90" t="s">
        <v>389</v>
      </c>
      <c r="M179" s="90" t="s">
        <v>102</v>
      </c>
      <c r="N179" s="90" t="s">
        <v>102</v>
      </c>
      <c r="O179" s="90" t="s">
        <v>102</v>
      </c>
      <c r="P179" s="90" t="s">
        <v>102</v>
      </c>
      <c r="Q179" s="90" t="s">
        <v>102</v>
      </c>
      <c r="R179" s="90" t="s">
        <v>622</v>
      </c>
      <c r="S179" s="90" t="s">
        <v>102</v>
      </c>
      <c r="T179" s="90" t="s">
        <v>279</v>
      </c>
      <c r="U179" s="90" t="s">
        <v>622</v>
      </c>
      <c r="V179" s="90" t="s">
        <v>102</v>
      </c>
      <c r="W179" s="90" t="s">
        <v>102</v>
      </c>
      <c r="X179" s="90" t="s">
        <v>102</v>
      </c>
      <c r="Y179" s="90" t="s">
        <v>102</v>
      </c>
      <c r="Z179" s="90" t="s">
        <v>102</v>
      </c>
      <c r="AA179" s="90" t="s">
        <v>102</v>
      </c>
    </row>
    <row r="180" spans="1:27" ht="15" x14ac:dyDescent="0.25">
      <c r="A180" s="88" t="s">
        <v>623</v>
      </c>
      <c r="B180" s="88" t="s">
        <v>169</v>
      </c>
      <c r="C180" s="88" t="s">
        <v>170</v>
      </c>
      <c r="D180" s="90" t="s">
        <v>102</v>
      </c>
      <c r="E180" s="90" t="s">
        <v>102</v>
      </c>
      <c r="F180" s="90" t="s">
        <v>193</v>
      </c>
      <c r="G180" s="90" t="s">
        <v>102</v>
      </c>
      <c r="H180" s="90" t="s">
        <v>229</v>
      </c>
      <c r="I180" s="90" t="s">
        <v>102</v>
      </c>
      <c r="J180" s="90" t="s">
        <v>413</v>
      </c>
      <c r="K180" s="90" t="s">
        <v>140</v>
      </c>
      <c r="L180" s="90" t="s">
        <v>102</v>
      </c>
      <c r="M180" s="90" t="s">
        <v>102</v>
      </c>
      <c r="N180" s="90" t="s">
        <v>102</v>
      </c>
      <c r="O180" s="90" t="s">
        <v>102</v>
      </c>
      <c r="P180" s="90" t="s">
        <v>102</v>
      </c>
      <c r="Q180" s="90" t="s">
        <v>102</v>
      </c>
      <c r="R180" s="90" t="s">
        <v>102</v>
      </c>
      <c r="S180" s="90" t="s">
        <v>102</v>
      </c>
      <c r="T180" s="90" t="s">
        <v>102</v>
      </c>
      <c r="U180" s="90" t="s">
        <v>102</v>
      </c>
      <c r="V180" s="90" t="s">
        <v>102</v>
      </c>
      <c r="W180" s="90" t="s">
        <v>102</v>
      </c>
      <c r="X180" s="90" t="s">
        <v>102</v>
      </c>
      <c r="Y180" s="90" t="s">
        <v>102</v>
      </c>
      <c r="Z180" s="90" t="s">
        <v>102</v>
      </c>
      <c r="AA180" s="90" t="s">
        <v>102</v>
      </c>
    </row>
    <row r="181" spans="1:27" ht="15" x14ac:dyDescent="0.25">
      <c r="A181" s="88" t="s">
        <v>623</v>
      </c>
      <c r="B181" s="88" t="s">
        <v>176</v>
      </c>
      <c r="C181" s="88" t="s">
        <v>170</v>
      </c>
      <c r="D181" s="90" t="s">
        <v>336</v>
      </c>
      <c r="E181" s="90" t="s">
        <v>102</v>
      </c>
      <c r="F181" s="90" t="s">
        <v>336</v>
      </c>
      <c r="G181" s="90" t="s">
        <v>102</v>
      </c>
      <c r="H181" s="90" t="s">
        <v>624</v>
      </c>
      <c r="I181" s="90" t="s">
        <v>102</v>
      </c>
      <c r="J181" s="90" t="s">
        <v>102</v>
      </c>
      <c r="K181" s="90" t="s">
        <v>102</v>
      </c>
      <c r="L181" s="90" t="s">
        <v>102</v>
      </c>
      <c r="M181" s="90" t="s">
        <v>102</v>
      </c>
      <c r="N181" s="90" t="s">
        <v>102</v>
      </c>
      <c r="O181" s="90" t="s">
        <v>102</v>
      </c>
      <c r="P181" s="90" t="s">
        <v>102</v>
      </c>
      <c r="Q181" s="90" t="s">
        <v>102</v>
      </c>
      <c r="R181" s="90" t="s">
        <v>102</v>
      </c>
      <c r="S181" s="90" t="s">
        <v>102</v>
      </c>
      <c r="T181" s="90" t="s">
        <v>102</v>
      </c>
      <c r="U181" s="90" t="s">
        <v>108</v>
      </c>
      <c r="V181" s="90" t="s">
        <v>102</v>
      </c>
      <c r="W181" s="90" t="s">
        <v>102</v>
      </c>
      <c r="X181" s="90" t="s">
        <v>102</v>
      </c>
      <c r="Y181" s="90" t="s">
        <v>102</v>
      </c>
      <c r="Z181" s="90" t="s">
        <v>102</v>
      </c>
      <c r="AA181" s="90" t="s">
        <v>102</v>
      </c>
    </row>
    <row r="182" spans="1:27" ht="15" x14ac:dyDescent="0.25">
      <c r="A182" s="88" t="s">
        <v>625</v>
      </c>
      <c r="B182" s="88" t="s">
        <v>169</v>
      </c>
      <c r="C182" s="88" t="s">
        <v>170</v>
      </c>
      <c r="D182" s="90" t="s">
        <v>102</v>
      </c>
      <c r="E182" s="90" t="s">
        <v>401</v>
      </c>
      <c r="F182" s="90" t="s">
        <v>401</v>
      </c>
      <c r="G182" s="90" t="s">
        <v>413</v>
      </c>
      <c r="H182" s="90" t="s">
        <v>413</v>
      </c>
      <c r="I182" s="90" t="s">
        <v>147</v>
      </c>
      <c r="J182" s="90" t="s">
        <v>147</v>
      </c>
      <c r="K182" s="90" t="s">
        <v>147</v>
      </c>
      <c r="L182" s="90" t="s">
        <v>341</v>
      </c>
      <c r="M182" s="90" t="s">
        <v>143</v>
      </c>
      <c r="N182" s="90" t="s">
        <v>396</v>
      </c>
      <c r="O182" s="90" t="s">
        <v>280</v>
      </c>
      <c r="P182" s="90" t="s">
        <v>104</v>
      </c>
      <c r="Q182" s="90" t="s">
        <v>125</v>
      </c>
      <c r="R182" s="90" t="s">
        <v>102</v>
      </c>
      <c r="S182" s="90" t="s">
        <v>143</v>
      </c>
      <c r="T182" s="90" t="s">
        <v>102</v>
      </c>
      <c r="U182" s="90" t="s">
        <v>157</v>
      </c>
      <c r="V182" s="90" t="s">
        <v>102</v>
      </c>
      <c r="W182" s="90" t="s">
        <v>102</v>
      </c>
      <c r="X182" s="90" t="s">
        <v>102</v>
      </c>
      <c r="Y182" s="90" t="s">
        <v>102</v>
      </c>
      <c r="Z182" s="90" t="s">
        <v>102</v>
      </c>
      <c r="AA182" s="90" t="s">
        <v>102</v>
      </c>
    </row>
    <row r="183" spans="1:27" ht="15" x14ac:dyDescent="0.25">
      <c r="A183" s="88" t="s">
        <v>626</v>
      </c>
      <c r="B183" s="88" t="s">
        <v>169</v>
      </c>
      <c r="C183" s="88" t="s">
        <v>627</v>
      </c>
      <c r="D183" s="90" t="s">
        <v>102</v>
      </c>
      <c r="E183" s="90" t="s">
        <v>102</v>
      </c>
      <c r="F183" s="90" t="s">
        <v>628</v>
      </c>
      <c r="G183" s="90" t="s">
        <v>102</v>
      </c>
      <c r="H183" s="90" t="s">
        <v>629</v>
      </c>
      <c r="I183" s="90" t="s">
        <v>102</v>
      </c>
      <c r="J183" s="90" t="s">
        <v>630</v>
      </c>
      <c r="K183" s="90" t="s">
        <v>631</v>
      </c>
      <c r="L183" s="90" t="s">
        <v>632</v>
      </c>
      <c r="M183" s="90" t="s">
        <v>102</v>
      </c>
      <c r="N183" s="90" t="s">
        <v>102</v>
      </c>
      <c r="O183" s="90" t="s">
        <v>102</v>
      </c>
      <c r="P183" s="90" t="s">
        <v>102</v>
      </c>
      <c r="Q183" s="90" t="s">
        <v>102</v>
      </c>
      <c r="R183" s="90" t="s">
        <v>102</v>
      </c>
      <c r="S183" s="90" t="s">
        <v>102</v>
      </c>
      <c r="T183" s="90" t="s">
        <v>102</v>
      </c>
      <c r="U183" s="90" t="s">
        <v>102</v>
      </c>
      <c r="V183" s="90" t="s">
        <v>102</v>
      </c>
      <c r="W183" s="90" t="s">
        <v>102</v>
      </c>
      <c r="X183" s="90" t="s">
        <v>102</v>
      </c>
      <c r="Y183" s="90" t="s">
        <v>102</v>
      </c>
      <c r="Z183" s="90" t="s">
        <v>102</v>
      </c>
      <c r="AA183" s="90" t="s">
        <v>102</v>
      </c>
    </row>
    <row r="184" spans="1:27" ht="15" x14ac:dyDescent="0.25">
      <c r="A184" s="88" t="s">
        <v>626</v>
      </c>
      <c r="B184" s="88" t="s">
        <v>154</v>
      </c>
      <c r="C184" s="88" t="s">
        <v>627</v>
      </c>
      <c r="D184" s="90" t="s">
        <v>633</v>
      </c>
      <c r="E184" s="90" t="s">
        <v>102</v>
      </c>
      <c r="F184" s="90" t="s">
        <v>102</v>
      </c>
      <c r="G184" s="90" t="s">
        <v>102</v>
      </c>
      <c r="H184" s="90" t="s">
        <v>102</v>
      </c>
      <c r="I184" s="90" t="s">
        <v>102</v>
      </c>
      <c r="J184" s="90" t="s">
        <v>102</v>
      </c>
      <c r="K184" s="90" t="s">
        <v>102</v>
      </c>
      <c r="L184" s="90" t="s">
        <v>102</v>
      </c>
      <c r="M184" s="90" t="s">
        <v>102</v>
      </c>
      <c r="N184" s="90" t="s">
        <v>102</v>
      </c>
      <c r="O184" s="90" t="s">
        <v>102</v>
      </c>
      <c r="P184" s="90" t="s">
        <v>634</v>
      </c>
      <c r="Q184" s="90" t="s">
        <v>102</v>
      </c>
      <c r="R184" s="90" t="s">
        <v>635</v>
      </c>
      <c r="S184" s="90" t="s">
        <v>102</v>
      </c>
      <c r="T184" s="90" t="s">
        <v>636</v>
      </c>
      <c r="U184" s="90" t="s">
        <v>637</v>
      </c>
      <c r="V184" s="90" t="s">
        <v>638</v>
      </c>
      <c r="W184" s="90" t="s">
        <v>102</v>
      </c>
      <c r="X184" s="90" t="s">
        <v>639</v>
      </c>
      <c r="Y184" s="90" t="s">
        <v>102</v>
      </c>
      <c r="Z184" s="90" t="s">
        <v>102</v>
      </c>
      <c r="AA184" s="90" t="s">
        <v>102</v>
      </c>
    </row>
    <row r="185" spans="1:27" ht="15" x14ac:dyDescent="0.25">
      <c r="A185" s="88" t="s">
        <v>640</v>
      </c>
      <c r="B185" s="88" t="s">
        <v>154</v>
      </c>
      <c r="C185" s="88" t="s">
        <v>641</v>
      </c>
      <c r="D185" s="90" t="s">
        <v>102</v>
      </c>
      <c r="E185" s="90" t="s">
        <v>102</v>
      </c>
      <c r="F185" s="90" t="s">
        <v>102</v>
      </c>
      <c r="G185" s="90" t="s">
        <v>102</v>
      </c>
      <c r="H185" s="90" t="s">
        <v>642</v>
      </c>
      <c r="I185" s="90" t="s">
        <v>102</v>
      </c>
      <c r="J185" s="90" t="s">
        <v>102</v>
      </c>
      <c r="K185" s="90" t="s">
        <v>643</v>
      </c>
      <c r="L185" s="90" t="s">
        <v>644</v>
      </c>
      <c r="M185" s="90" t="s">
        <v>102</v>
      </c>
      <c r="N185" s="90" t="s">
        <v>102</v>
      </c>
      <c r="O185" s="90" t="s">
        <v>102</v>
      </c>
      <c r="P185" s="90" t="s">
        <v>102</v>
      </c>
      <c r="Q185" s="90" t="s">
        <v>102</v>
      </c>
      <c r="R185" s="90" t="s">
        <v>645</v>
      </c>
      <c r="S185" s="90" t="s">
        <v>102</v>
      </c>
      <c r="T185" s="90" t="s">
        <v>102</v>
      </c>
      <c r="U185" s="90" t="s">
        <v>646</v>
      </c>
      <c r="V185" s="90" t="s">
        <v>102</v>
      </c>
      <c r="W185" s="90" t="s">
        <v>102</v>
      </c>
      <c r="X185" s="90" t="s">
        <v>102</v>
      </c>
      <c r="Y185" s="90" t="s">
        <v>102</v>
      </c>
      <c r="Z185" s="90" t="s">
        <v>102</v>
      </c>
      <c r="AA185" s="90" t="s">
        <v>102</v>
      </c>
    </row>
    <row r="186" spans="1:27" ht="15" x14ac:dyDescent="0.25">
      <c r="A186" s="88" t="s">
        <v>647</v>
      </c>
      <c r="B186" s="88" t="s">
        <v>407</v>
      </c>
      <c r="C186" s="88" t="s">
        <v>170</v>
      </c>
      <c r="D186" s="90" t="s">
        <v>229</v>
      </c>
      <c r="E186" s="90" t="s">
        <v>102</v>
      </c>
      <c r="F186" s="90" t="s">
        <v>229</v>
      </c>
      <c r="G186" s="90" t="s">
        <v>102</v>
      </c>
      <c r="H186" s="90" t="s">
        <v>280</v>
      </c>
      <c r="I186" s="90" t="s">
        <v>102</v>
      </c>
      <c r="J186" s="90" t="s">
        <v>119</v>
      </c>
      <c r="K186" s="90" t="s">
        <v>119</v>
      </c>
      <c r="L186" s="90" t="s">
        <v>281</v>
      </c>
      <c r="M186" s="90" t="s">
        <v>102</v>
      </c>
      <c r="N186" s="90" t="s">
        <v>102</v>
      </c>
      <c r="O186" s="90" t="s">
        <v>102</v>
      </c>
      <c r="P186" s="90" t="s">
        <v>102</v>
      </c>
      <c r="Q186" s="90" t="s">
        <v>102</v>
      </c>
      <c r="R186" s="90" t="s">
        <v>102</v>
      </c>
      <c r="S186" s="90" t="s">
        <v>102</v>
      </c>
      <c r="T186" s="90" t="s">
        <v>102</v>
      </c>
      <c r="U186" s="90" t="s">
        <v>102</v>
      </c>
      <c r="V186" s="90" t="s">
        <v>102</v>
      </c>
      <c r="W186" s="90" t="s">
        <v>102</v>
      </c>
      <c r="X186" s="90" t="s">
        <v>102</v>
      </c>
      <c r="Y186" s="90" t="s">
        <v>102</v>
      </c>
      <c r="Z186" s="90" t="s">
        <v>102</v>
      </c>
      <c r="AA186" s="90" t="s">
        <v>102</v>
      </c>
    </row>
    <row r="187" spans="1:27" ht="15" x14ac:dyDescent="0.25">
      <c r="A187" s="88" t="s">
        <v>647</v>
      </c>
      <c r="B187" s="88" t="s">
        <v>549</v>
      </c>
      <c r="C187" s="88" t="s">
        <v>170</v>
      </c>
      <c r="D187" s="90" t="s">
        <v>648</v>
      </c>
      <c r="E187" s="90" t="s">
        <v>102</v>
      </c>
      <c r="F187" s="90" t="s">
        <v>648</v>
      </c>
      <c r="G187" s="90" t="s">
        <v>102</v>
      </c>
      <c r="H187" s="90" t="s">
        <v>391</v>
      </c>
      <c r="I187" s="90" t="s">
        <v>102</v>
      </c>
      <c r="J187" s="90" t="s">
        <v>113</v>
      </c>
      <c r="K187" s="90" t="s">
        <v>188</v>
      </c>
      <c r="L187" s="90" t="s">
        <v>195</v>
      </c>
      <c r="M187" s="90" t="s">
        <v>102</v>
      </c>
      <c r="N187" s="90" t="s">
        <v>102</v>
      </c>
      <c r="O187" s="90" t="s">
        <v>102</v>
      </c>
      <c r="P187" s="90" t="s">
        <v>167</v>
      </c>
      <c r="Q187" s="90" t="s">
        <v>102</v>
      </c>
      <c r="R187" s="90" t="s">
        <v>102</v>
      </c>
      <c r="S187" s="90" t="s">
        <v>102</v>
      </c>
      <c r="T187" s="90" t="s">
        <v>102</v>
      </c>
      <c r="U187" s="90" t="s">
        <v>125</v>
      </c>
      <c r="V187" s="90" t="s">
        <v>388</v>
      </c>
      <c r="W187" s="90" t="s">
        <v>102</v>
      </c>
      <c r="X187" s="90" t="s">
        <v>102</v>
      </c>
      <c r="Y187" s="90" t="s">
        <v>102</v>
      </c>
      <c r="Z187" s="90" t="s">
        <v>102</v>
      </c>
      <c r="AA187" s="90" t="s">
        <v>102</v>
      </c>
    </row>
    <row r="188" spans="1:27" ht="15" x14ac:dyDescent="0.25">
      <c r="A188" s="88" t="s">
        <v>647</v>
      </c>
      <c r="B188" s="88" t="s">
        <v>649</v>
      </c>
      <c r="C188" s="88" t="s">
        <v>170</v>
      </c>
      <c r="D188" s="90" t="s">
        <v>648</v>
      </c>
      <c r="E188" s="90" t="s">
        <v>102</v>
      </c>
      <c r="F188" s="90" t="s">
        <v>648</v>
      </c>
      <c r="G188" s="90" t="s">
        <v>102</v>
      </c>
      <c r="H188" s="90" t="s">
        <v>391</v>
      </c>
      <c r="I188" s="90" t="s">
        <v>102</v>
      </c>
      <c r="J188" s="90" t="s">
        <v>113</v>
      </c>
      <c r="K188" s="90" t="s">
        <v>188</v>
      </c>
      <c r="L188" s="90" t="s">
        <v>195</v>
      </c>
      <c r="M188" s="90" t="s">
        <v>102</v>
      </c>
      <c r="N188" s="90" t="s">
        <v>102</v>
      </c>
      <c r="O188" s="90" t="s">
        <v>102</v>
      </c>
      <c r="P188" s="90" t="s">
        <v>167</v>
      </c>
      <c r="Q188" s="90" t="s">
        <v>102</v>
      </c>
      <c r="R188" s="90" t="s">
        <v>102</v>
      </c>
      <c r="S188" s="90" t="s">
        <v>102</v>
      </c>
      <c r="T188" s="90" t="s">
        <v>102</v>
      </c>
      <c r="U188" s="90" t="s">
        <v>125</v>
      </c>
      <c r="V188" s="90" t="s">
        <v>388</v>
      </c>
      <c r="W188" s="90" t="s">
        <v>102</v>
      </c>
      <c r="X188" s="90" t="s">
        <v>102</v>
      </c>
      <c r="Y188" s="90" t="s">
        <v>102</v>
      </c>
      <c r="Z188" s="90" t="s">
        <v>102</v>
      </c>
      <c r="AA188" s="90" t="s">
        <v>102</v>
      </c>
    </row>
    <row r="189" spans="1:27" ht="15" x14ac:dyDescent="0.25">
      <c r="A189" s="88" t="s">
        <v>647</v>
      </c>
      <c r="B189" s="88" t="s">
        <v>169</v>
      </c>
      <c r="C189" s="88" t="s">
        <v>170</v>
      </c>
      <c r="D189" s="90" t="s">
        <v>102</v>
      </c>
      <c r="E189" s="90" t="s">
        <v>102</v>
      </c>
      <c r="F189" s="90" t="s">
        <v>650</v>
      </c>
      <c r="G189" s="90" t="s">
        <v>102</v>
      </c>
      <c r="H189" s="90" t="s">
        <v>651</v>
      </c>
      <c r="I189" s="90" t="s">
        <v>102</v>
      </c>
      <c r="J189" s="90" t="s">
        <v>652</v>
      </c>
      <c r="K189" s="90" t="s">
        <v>653</v>
      </c>
      <c r="L189" s="90" t="s">
        <v>654</v>
      </c>
      <c r="M189" s="90" t="s">
        <v>102</v>
      </c>
      <c r="N189" s="90" t="s">
        <v>102</v>
      </c>
      <c r="O189" s="90" t="s">
        <v>102</v>
      </c>
      <c r="P189" s="90" t="s">
        <v>102</v>
      </c>
      <c r="Q189" s="90" t="s">
        <v>102</v>
      </c>
      <c r="R189" s="90" t="s">
        <v>102</v>
      </c>
      <c r="S189" s="90" t="s">
        <v>102</v>
      </c>
      <c r="T189" s="90" t="s">
        <v>102</v>
      </c>
      <c r="U189" s="90" t="s">
        <v>655</v>
      </c>
      <c r="V189" s="90" t="s">
        <v>102</v>
      </c>
      <c r="W189" s="90" t="s">
        <v>102</v>
      </c>
      <c r="X189" s="90" t="s">
        <v>102</v>
      </c>
      <c r="Y189" s="90" t="s">
        <v>102</v>
      </c>
      <c r="Z189" s="90" t="s">
        <v>102</v>
      </c>
      <c r="AA189" s="90" t="s">
        <v>102</v>
      </c>
    </row>
    <row r="190" spans="1:27" ht="15" x14ac:dyDescent="0.25">
      <c r="A190" s="88" t="s">
        <v>647</v>
      </c>
      <c r="B190" s="88" t="s">
        <v>316</v>
      </c>
      <c r="C190" s="88" t="s">
        <v>170</v>
      </c>
      <c r="D190" s="90" t="s">
        <v>648</v>
      </c>
      <c r="E190" s="90" t="s">
        <v>102</v>
      </c>
      <c r="F190" s="90" t="s">
        <v>648</v>
      </c>
      <c r="G190" s="90" t="s">
        <v>102</v>
      </c>
      <c r="H190" s="90" t="s">
        <v>391</v>
      </c>
      <c r="I190" s="90" t="s">
        <v>102</v>
      </c>
      <c r="J190" s="90" t="s">
        <v>113</v>
      </c>
      <c r="K190" s="90" t="s">
        <v>188</v>
      </c>
      <c r="L190" s="90" t="s">
        <v>195</v>
      </c>
      <c r="M190" s="90" t="s">
        <v>102</v>
      </c>
      <c r="N190" s="90" t="s">
        <v>102</v>
      </c>
      <c r="O190" s="90" t="s">
        <v>102</v>
      </c>
      <c r="P190" s="90" t="s">
        <v>167</v>
      </c>
      <c r="Q190" s="90" t="s">
        <v>102</v>
      </c>
      <c r="R190" s="90" t="s">
        <v>102</v>
      </c>
      <c r="S190" s="90" t="s">
        <v>102</v>
      </c>
      <c r="T190" s="90" t="s">
        <v>102</v>
      </c>
      <c r="U190" s="90" t="s">
        <v>125</v>
      </c>
      <c r="V190" s="90" t="s">
        <v>388</v>
      </c>
      <c r="W190" s="90" t="s">
        <v>102</v>
      </c>
      <c r="X190" s="90" t="s">
        <v>102</v>
      </c>
      <c r="Y190" s="90" t="s">
        <v>102</v>
      </c>
      <c r="Z190" s="90" t="s">
        <v>102</v>
      </c>
      <c r="AA190" s="90" t="s">
        <v>102</v>
      </c>
    </row>
    <row r="191" spans="1:27" ht="15" x14ac:dyDescent="0.25">
      <c r="A191" s="88" t="s">
        <v>647</v>
      </c>
      <c r="B191" s="88" t="s">
        <v>154</v>
      </c>
      <c r="C191" s="88" t="s">
        <v>170</v>
      </c>
      <c r="D191" s="90" t="s">
        <v>102</v>
      </c>
      <c r="E191" s="90" t="s">
        <v>602</v>
      </c>
      <c r="F191" s="90" t="s">
        <v>102</v>
      </c>
      <c r="G191" s="90" t="s">
        <v>195</v>
      </c>
      <c r="H191" s="90" t="s">
        <v>173</v>
      </c>
      <c r="I191" s="90" t="s">
        <v>172</v>
      </c>
      <c r="J191" s="90" t="s">
        <v>109</v>
      </c>
      <c r="K191" s="90" t="s">
        <v>656</v>
      </c>
      <c r="L191" s="90" t="s">
        <v>358</v>
      </c>
      <c r="M191" s="90" t="s">
        <v>102</v>
      </c>
      <c r="N191" s="90" t="s">
        <v>102</v>
      </c>
      <c r="O191" s="90" t="s">
        <v>102</v>
      </c>
      <c r="P191" s="90" t="s">
        <v>102</v>
      </c>
      <c r="Q191" s="90" t="s">
        <v>102</v>
      </c>
      <c r="R191" s="90" t="s">
        <v>102</v>
      </c>
      <c r="S191" s="90" t="s">
        <v>102</v>
      </c>
      <c r="T191" s="90" t="s">
        <v>102</v>
      </c>
      <c r="U191" s="90" t="s">
        <v>110</v>
      </c>
      <c r="V191" s="90" t="s">
        <v>102</v>
      </c>
      <c r="W191" s="90" t="s">
        <v>102</v>
      </c>
      <c r="X191" s="90" t="s">
        <v>102</v>
      </c>
      <c r="Y191" s="90" t="s">
        <v>102</v>
      </c>
      <c r="Z191" s="90" t="s">
        <v>102</v>
      </c>
      <c r="AA191" s="90" t="s">
        <v>102</v>
      </c>
    </row>
    <row r="192" spans="1:27" ht="15" x14ac:dyDescent="0.25">
      <c r="A192" s="88" t="s">
        <v>657</v>
      </c>
      <c r="B192" s="88" t="s">
        <v>407</v>
      </c>
      <c r="C192" s="88" t="s">
        <v>658</v>
      </c>
      <c r="D192" s="90" t="s">
        <v>659</v>
      </c>
      <c r="E192" s="90" t="s">
        <v>102</v>
      </c>
      <c r="F192" s="90" t="s">
        <v>659</v>
      </c>
      <c r="G192" s="90" t="s">
        <v>102</v>
      </c>
      <c r="H192" s="90" t="s">
        <v>660</v>
      </c>
      <c r="I192" s="90" t="s">
        <v>102</v>
      </c>
      <c r="J192" s="90" t="s">
        <v>661</v>
      </c>
      <c r="K192" s="90" t="s">
        <v>661</v>
      </c>
      <c r="L192" s="90" t="s">
        <v>553</v>
      </c>
      <c r="M192" s="90" t="s">
        <v>102</v>
      </c>
      <c r="N192" s="90" t="s">
        <v>102</v>
      </c>
      <c r="O192" s="90" t="s">
        <v>102</v>
      </c>
      <c r="P192" s="90" t="s">
        <v>662</v>
      </c>
      <c r="Q192" s="90" t="s">
        <v>102</v>
      </c>
      <c r="R192" s="90" t="s">
        <v>102</v>
      </c>
      <c r="S192" s="90" t="s">
        <v>102</v>
      </c>
      <c r="T192" s="90" t="s">
        <v>102</v>
      </c>
      <c r="U192" s="90" t="s">
        <v>663</v>
      </c>
      <c r="V192" s="90" t="s">
        <v>102</v>
      </c>
      <c r="W192" s="90" t="s">
        <v>102</v>
      </c>
      <c r="X192" s="90" t="s">
        <v>102</v>
      </c>
      <c r="Y192" s="90" t="s">
        <v>102</v>
      </c>
      <c r="Z192" s="90" t="s">
        <v>102</v>
      </c>
      <c r="AA192" s="90" t="s">
        <v>102</v>
      </c>
    </row>
    <row r="193" spans="1:27" ht="15" x14ac:dyDescent="0.25">
      <c r="A193" s="88" t="s">
        <v>657</v>
      </c>
      <c r="B193" s="88" t="s">
        <v>304</v>
      </c>
      <c r="C193" s="88" t="s">
        <v>658</v>
      </c>
      <c r="D193" s="90" t="s">
        <v>664</v>
      </c>
      <c r="E193" s="90" t="s">
        <v>102</v>
      </c>
      <c r="F193" s="90" t="s">
        <v>665</v>
      </c>
      <c r="G193" s="90" t="s">
        <v>102</v>
      </c>
      <c r="H193" s="90" t="s">
        <v>666</v>
      </c>
      <c r="I193" s="90" t="s">
        <v>102</v>
      </c>
      <c r="J193" s="90" t="s">
        <v>667</v>
      </c>
      <c r="K193" s="90" t="s">
        <v>668</v>
      </c>
      <c r="L193" s="90" t="s">
        <v>669</v>
      </c>
      <c r="M193" s="90" t="s">
        <v>102</v>
      </c>
      <c r="N193" s="90" t="s">
        <v>102</v>
      </c>
      <c r="O193" s="90" t="s">
        <v>102</v>
      </c>
      <c r="P193" s="90" t="s">
        <v>102</v>
      </c>
      <c r="Q193" s="90" t="s">
        <v>102</v>
      </c>
      <c r="R193" s="90" t="s">
        <v>670</v>
      </c>
      <c r="S193" s="90" t="s">
        <v>102</v>
      </c>
      <c r="T193" s="90" t="s">
        <v>102</v>
      </c>
      <c r="U193" s="90" t="s">
        <v>102</v>
      </c>
      <c r="V193" s="90" t="s">
        <v>102</v>
      </c>
      <c r="W193" s="90" t="s">
        <v>102</v>
      </c>
      <c r="X193" s="90" t="s">
        <v>102</v>
      </c>
      <c r="Y193" s="90" t="s">
        <v>102</v>
      </c>
      <c r="Z193" s="90" t="s">
        <v>102</v>
      </c>
      <c r="AA193" s="90" t="s">
        <v>102</v>
      </c>
    </row>
    <row r="194" spans="1:27" ht="15" x14ac:dyDescent="0.25">
      <c r="A194" s="88" t="s">
        <v>657</v>
      </c>
      <c r="B194" s="88" t="s">
        <v>371</v>
      </c>
      <c r="C194" s="88" t="s">
        <v>658</v>
      </c>
      <c r="D194" s="90" t="s">
        <v>664</v>
      </c>
      <c r="E194" s="90" t="s">
        <v>102</v>
      </c>
      <c r="F194" s="90" t="s">
        <v>665</v>
      </c>
      <c r="G194" s="90" t="s">
        <v>102</v>
      </c>
      <c r="H194" s="90" t="s">
        <v>666</v>
      </c>
      <c r="I194" s="90" t="s">
        <v>102</v>
      </c>
      <c r="J194" s="90" t="s">
        <v>667</v>
      </c>
      <c r="K194" s="90" t="s">
        <v>668</v>
      </c>
      <c r="L194" s="90" t="s">
        <v>669</v>
      </c>
      <c r="M194" s="90" t="s">
        <v>102</v>
      </c>
      <c r="N194" s="90" t="s">
        <v>102</v>
      </c>
      <c r="O194" s="90" t="s">
        <v>102</v>
      </c>
      <c r="P194" s="90" t="s">
        <v>102</v>
      </c>
      <c r="Q194" s="90" t="s">
        <v>102</v>
      </c>
      <c r="R194" s="90" t="s">
        <v>670</v>
      </c>
      <c r="S194" s="90" t="s">
        <v>102</v>
      </c>
      <c r="T194" s="90" t="s">
        <v>102</v>
      </c>
      <c r="U194" s="90" t="s">
        <v>102</v>
      </c>
      <c r="V194" s="90" t="s">
        <v>102</v>
      </c>
      <c r="W194" s="90" t="s">
        <v>102</v>
      </c>
      <c r="X194" s="90" t="s">
        <v>102</v>
      </c>
      <c r="Y194" s="90" t="s">
        <v>102</v>
      </c>
      <c r="Z194" s="90" t="s">
        <v>102</v>
      </c>
      <c r="AA194" s="90" t="s">
        <v>102</v>
      </c>
    </row>
    <row r="195" spans="1:27" ht="15" x14ac:dyDescent="0.25">
      <c r="A195" s="88" t="s">
        <v>657</v>
      </c>
      <c r="B195" s="88" t="s">
        <v>169</v>
      </c>
      <c r="C195" s="88" t="s">
        <v>658</v>
      </c>
      <c r="D195" s="90" t="s">
        <v>102</v>
      </c>
      <c r="E195" s="90" t="s">
        <v>102</v>
      </c>
      <c r="F195" s="90" t="s">
        <v>671</v>
      </c>
      <c r="G195" s="90" t="s">
        <v>102</v>
      </c>
      <c r="H195" s="90" t="s">
        <v>672</v>
      </c>
      <c r="I195" s="90" t="s">
        <v>102</v>
      </c>
      <c r="J195" s="90" t="s">
        <v>102</v>
      </c>
      <c r="K195" s="90" t="s">
        <v>673</v>
      </c>
      <c r="L195" s="90" t="s">
        <v>102</v>
      </c>
      <c r="M195" s="90" t="s">
        <v>102</v>
      </c>
      <c r="N195" s="90" t="s">
        <v>102</v>
      </c>
      <c r="O195" s="90" t="s">
        <v>102</v>
      </c>
      <c r="P195" s="90" t="s">
        <v>674</v>
      </c>
      <c r="Q195" s="90" t="s">
        <v>102</v>
      </c>
      <c r="R195" s="90" t="s">
        <v>102</v>
      </c>
      <c r="S195" s="90" t="s">
        <v>102</v>
      </c>
      <c r="T195" s="90" t="s">
        <v>102</v>
      </c>
      <c r="U195" s="90" t="s">
        <v>102</v>
      </c>
      <c r="V195" s="90" t="s">
        <v>102</v>
      </c>
      <c r="W195" s="90" t="s">
        <v>102</v>
      </c>
      <c r="X195" s="90" t="s">
        <v>102</v>
      </c>
      <c r="Y195" s="90" t="s">
        <v>102</v>
      </c>
      <c r="Z195" s="90" t="s">
        <v>102</v>
      </c>
      <c r="AA195" s="90" t="s">
        <v>102</v>
      </c>
    </row>
    <row r="196" spans="1:27" ht="15" x14ac:dyDescent="0.25">
      <c r="A196" s="88" t="s">
        <v>657</v>
      </c>
      <c r="B196" s="88" t="s">
        <v>176</v>
      </c>
      <c r="C196" s="88" t="s">
        <v>658</v>
      </c>
      <c r="D196" s="90" t="s">
        <v>102</v>
      </c>
      <c r="E196" s="90" t="s">
        <v>279</v>
      </c>
      <c r="F196" s="90" t="s">
        <v>665</v>
      </c>
      <c r="G196" s="90" t="s">
        <v>102</v>
      </c>
      <c r="H196" s="90" t="s">
        <v>666</v>
      </c>
      <c r="I196" s="90" t="s">
        <v>102</v>
      </c>
      <c r="J196" s="90" t="s">
        <v>675</v>
      </c>
      <c r="K196" s="90" t="s">
        <v>675</v>
      </c>
      <c r="L196" s="90" t="s">
        <v>676</v>
      </c>
      <c r="M196" s="90" t="s">
        <v>677</v>
      </c>
      <c r="N196" s="90" t="s">
        <v>678</v>
      </c>
      <c r="O196" s="90" t="s">
        <v>102</v>
      </c>
      <c r="P196" s="90" t="s">
        <v>102</v>
      </c>
      <c r="Q196" s="90" t="s">
        <v>102</v>
      </c>
      <c r="R196" s="90" t="s">
        <v>102</v>
      </c>
      <c r="S196" s="90" t="s">
        <v>102</v>
      </c>
      <c r="T196" s="90" t="s">
        <v>102</v>
      </c>
      <c r="U196" s="90" t="s">
        <v>102</v>
      </c>
      <c r="V196" s="90" t="s">
        <v>102</v>
      </c>
      <c r="W196" s="90" t="s">
        <v>102</v>
      </c>
      <c r="X196" s="90" t="s">
        <v>102</v>
      </c>
      <c r="Y196" s="90" t="s">
        <v>102</v>
      </c>
      <c r="Z196" s="90" t="s">
        <v>102</v>
      </c>
      <c r="AA196" s="90" t="s">
        <v>102</v>
      </c>
    </row>
    <row r="197" spans="1:27" ht="15" x14ac:dyDescent="0.25">
      <c r="A197" s="88" t="s">
        <v>657</v>
      </c>
      <c r="B197" s="88" t="s">
        <v>316</v>
      </c>
      <c r="C197" s="88" t="s">
        <v>658</v>
      </c>
      <c r="D197" s="90" t="s">
        <v>664</v>
      </c>
      <c r="E197" s="90" t="s">
        <v>102</v>
      </c>
      <c r="F197" s="90" t="s">
        <v>665</v>
      </c>
      <c r="G197" s="90" t="s">
        <v>102</v>
      </c>
      <c r="H197" s="90" t="s">
        <v>666</v>
      </c>
      <c r="I197" s="90" t="s">
        <v>102</v>
      </c>
      <c r="J197" s="90" t="s">
        <v>667</v>
      </c>
      <c r="K197" s="90" t="s">
        <v>668</v>
      </c>
      <c r="L197" s="90" t="s">
        <v>669</v>
      </c>
      <c r="M197" s="90" t="s">
        <v>102</v>
      </c>
      <c r="N197" s="90" t="s">
        <v>102</v>
      </c>
      <c r="O197" s="90" t="s">
        <v>102</v>
      </c>
      <c r="P197" s="90" t="s">
        <v>102</v>
      </c>
      <c r="Q197" s="90" t="s">
        <v>102</v>
      </c>
      <c r="R197" s="90" t="s">
        <v>670</v>
      </c>
      <c r="S197" s="90" t="s">
        <v>102</v>
      </c>
      <c r="T197" s="90" t="s">
        <v>102</v>
      </c>
      <c r="U197" s="90" t="s">
        <v>102</v>
      </c>
      <c r="V197" s="90" t="s">
        <v>102</v>
      </c>
      <c r="W197" s="90" t="s">
        <v>102</v>
      </c>
      <c r="X197" s="90" t="s">
        <v>102</v>
      </c>
      <c r="Y197" s="90" t="s">
        <v>102</v>
      </c>
      <c r="Z197" s="90" t="s">
        <v>102</v>
      </c>
      <c r="AA197" s="90" t="s">
        <v>102</v>
      </c>
    </row>
    <row r="198" spans="1:27" ht="15" x14ac:dyDescent="0.25">
      <c r="A198" s="88" t="s">
        <v>679</v>
      </c>
      <c r="B198" s="88" t="s">
        <v>304</v>
      </c>
      <c r="C198" s="88" t="s">
        <v>680</v>
      </c>
      <c r="D198" s="90" t="s">
        <v>333</v>
      </c>
      <c r="E198" s="90" t="s">
        <v>102</v>
      </c>
      <c r="F198" s="90" t="s">
        <v>515</v>
      </c>
      <c r="G198" s="90" t="s">
        <v>102</v>
      </c>
      <c r="H198" s="90" t="s">
        <v>249</v>
      </c>
      <c r="I198" s="90" t="s">
        <v>102</v>
      </c>
      <c r="J198" s="90" t="s">
        <v>681</v>
      </c>
      <c r="K198" s="90" t="s">
        <v>175</v>
      </c>
      <c r="L198" s="90" t="s">
        <v>102</v>
      </c>
      <c r="M198" s="90" t="s">
        <v>102</v>
      </c>
      <c r="N198" s="90" t="s">
        <v>102</v>
      </c>
      <c r="O198" s="90" t="s">
        <v>102</v>
      </c>
      <c r="P198" s="90" t="s">
        <v>102</v>
      </c>
      <c r="Q198" s="90" t="s">
        <v>102</v>
      </c>
      <c r="R198" s="90" t="s">
        <v>102</v>
      </c>
      <c r="S198" s="90" t="s">
        <v>102</v>
      </c>
      <c r="T198" s="90" t="s">
        <v>102</v>
      </c>
      <c r="U198" s="90" t="s">
        <v>102</v>
      </c>
      <c r="V198" s="90" t="s">
        <v>102</v>
      </c>
      <c r="W198" s="90" t="s">
        <v>102</v>
      </c>
      <c r="X198" s="90" t="s">
        <v>102</v>
      </c>
      <c r="Y198" s="90" t="s">
        <v>102</v>
      </c>
      <c r="Z198" s="90" t="s">
        <v>102</v>
      </c>
      <c r="AA198" s="90" t="s">
        <v>102</v>
      </c>
    </row>
    <row r="199" spans="1:27" ht="15" x14ac:dyDescent="0.25">
      <c r="A199" s="88" t="s">
        <v>679</v>
      </c>
      <c r="B199" s="88" t="s">
        <v>371</v>
      </c>
      <c r="C199" s="88" t="s">
        <v>680</v>
      </c>
      <c r="D199" s="90" t="s">
        <v>333</v>
      </c>
      <c r="E199" s="90" t="s">
        <v>102</v>
      </c>
      <c r="F199" s="90" t="s">
        <v>515</v>
      </c>
      <c r="G199" s="90" t="s">
        <v>102</v>
      </c>
      <c r="H199" s="90" t="s">
        <v>249</v>
      </c>
      <c r="I199" s="90" t="s">
        <v>102</v>
      </c>
      <c r="J199" s="90" t="s">
        <v>681</v>
      </c>
      <c r="K199" s="90" t="s">
        <v>175</v>
      </c>
      <c r="L199" s="90" t="s">
        <v>102</v>
      </c>
      <c r="M199" s="90" t="s">
        <v>102</v>
      </c>
      <c r="N199" s="90" t="s">
        <v>102</v>
      </c>
      <c r="O199" s="90" t="s">
        <v>102</v>
      </c>
      <c r="P199" s="90" t="s">
        <v>102</v>
      </c>
      <c r="Q199" s="90" t="s">
        <v>102</v>
      </c>
      <c r="R199" s="90" t="s">
        <v>102</v>
      </c>
      <c r="S199" s="90" t="s">
        <v>102</v>
      </c>
      <c r="T199" s="90" t="s">
        <v>102</v>
      </c>
      <c r="U199" s="90" t="s">
        <v>102</v>
      </c>
      <c r="V199" s="90" t="s">
        <v>102</v>
      </c>
      <c r="W199" s="90" t="s">
        <v>102</v>
      </c>
      <c r="X199" s="90" t="s">
        <v>102</v>
      </c>
      <c r="Y199" s="90" t="s">
        <v>102</v>
      </c>
      <c r="Z199" s="90" t="s">
        <v>102</v>
      </c>
      <c r="AA199" s="90" t="s">
        <v>102</v>
      </c>
    </row>
    <row r="200" spans="1:27" ht="15" x14ac:dyDescent="0.25">
      <c r="A200" s="88" t="s">
        <v>679</v>
      </c>
      <c r="B200" s="88" t="s">
        <v>169</v>
      </c>
      <c r="C200" s="88" t="s">
        <v>680</v>
      </c>
      <c r="D200" s="90" t="s">
        <v>413</v>
      </c>
      <c r="E200" s="90" t="s">
        <v>102</v>
      </c>
      <c r="F200" s="90" t="s">
        <v>133</v>
      </c>
      <c r="G200" s="90" t="s">
        <v>102</v>
      </c>
      <c r="H200" s="90" t="s">
        <v>155</v>
      </c>
      <c r="I200" s="90" t="s">
        <v>102</v>
      </c>
      <c r="J200" s="90" t="s">
        <v>157</v>
      </c>
      <c r="K200" s="90" t="s">
        <v>122</v>
      </c>
      <c r="L200" s="90" t="s">
        <v>682</v>
      </c>
      <c r="M200" s="90" t="s">
        <v>102</v>
      </c>
      <c r="N200" s="90" t="s">
        <v>102</v>
      </c>
      <c r="O200" s="90" t="s">
        <v>102</v>
      </c>
      <c r="P200" s="90" t="s">
        <v>102</v>
      </c>
      <c r="Q200" s="90" t="s">
        <v>102</v>
      </c>
      <c r="R200" s="90" t="s">
        <v>102</v>
      </c>
      <c r="S200" s="90" t="s">
        <v>102</v>
      </c>
      <c r="T200" s="90" t="s">
        <v>102</v>
      </c>
      <c r="U200" s="90" t="s">
        <v>429</v>
      </c>
      <c r="V200" s="90" t="s">
        <v>102</v>
      </c>
      <c r="W200" s="90" t="s">
        <v>102</v>
      </c>
      <c r="X200" s="90" t="s">
        <v>102</v>
      </c>
      <c r="Y200" s="90" t="s">
        <v>102</v>
      </c>
      <c r="Z200" s="90" t="s">
        <v>102</v>
      </c>
      <c r="AA200" s="90" t="s">
        <v>102</v>
      </c>
    </row>
    <row r="201" spans="1:27" ht="15" x14ac:dyDescent="0.25">
      <c r="A201" s="88" t="s">
        <v>679</v>
      </c>
      <c r="B201" s="88" t="s">
        <v>176</v>
      </c>
      <c r="C201" s="88" t="s">
        <v>680</v>
      </c>
      <c r="D201" s="90" t="s">
        <v>683</v>
      </c>
      <c r="E201" s="90" t="s">
        <v>102</v>
      </c>
      <c r="F201" s="90" t="s">
        <v>683</v>
      </c>
      <c r="G201" s="90" t="s">
        <v>102</v>
      </c>
      <c r="H201" s="90" t="s">
        <v>684</v>
      </c>
      <c r="I201" s="90" t="s">
        <v>102</v>
      </c>
      <c r="J201" s="90" t="s">
        <v>573</v>
      </c>
      <c r="K201" s="90" t="s">
        <v>573</v>
      </c>
      <c r="L201" s="90" t="s">
        <v>685</v>
      </c>
      <c r="M201" s="90" t="s">
        <v>102</v>
      </c>
      <c r="N201" s="90" t="s">
        <v>102</v>
      </c>
      <c r="O201" s="90" t="s">
        <v>102</v>
      </c>
      <c r="P201" s="90" t="s">
        <v>102</v>
      </c>
      <c r="Q201" s="90" t="s">
        <v>686</v>
      </c>
      <c r="R201" s="90" t="s">
        <v>102</v>
      </c>
      <c r="S201" s="90" t="s">
        <v>102</v>
      </c>
      <c r="T201" s="90" t="s">
        <v>102</v>
      </c>
      <c r="U201" s="90" t="s">
        <v>685</v>
      </c>
      <c r="V201" s="90" t="s">
        <v>102</v>
      </c>
      <c r="W201" s="90" t="s">
        <v>102</v>
      </c>
      <c r="X201" s="90" t="s">
        <v>102</v>
      </c>
      <c r="Y201" s="90" t="s">
        <v>102</v>
      </c>
      <c r="Z201" s="90" t="s">
        <v>102</v>
      </c>
      <c r="AA201" s="90" t="s">
        <v>102</v>
      </c>
    </row>
    <row r="202" spans="1:27" ht="15" x14ac:dyDescent="0.25">
      <c r="A202" s="88" t="s">
        <v>679</v>
      </c>
      <c r="B202" s="88" t="s">
        <v>316</v>
      </c>
      <c r="C202" s="88" t="s">
        <v>680</v>
      </c>
      <c r="D202" s="90" t="s">
        <v>333</v>
      </c>
      <c r="E202" s="90" t="s">
        <v>102</v>
      </c>
      <c r="F202" s="90" t="s">
        <v>515</v>
      </c>
      <c r="G202" s="90" t="s">
        <v>102</v>
      </c>
      <c r="H202" s="90" t="s">
        <v>249</v>
      </c>
      <c r="I202" s="90" t="s">
        <v>102</v>
      </c>
      <c r="J202" s="90" t="s">
        <v>681</v>
      </c>
      <c r="K202" s="90" t="s">
        <v>175</v>
      </c>
      <c r="L202" s="90" t="s">
        <v>102</v>
      </c>
      <c r="M202" s="90" t="s">
        <v>102</v>
      </c>
      <c r="N202" s="90" t="s">
        <v>102</v>
      </c>
      <c r="O202" s="90" t="s">
        <v>102</v>
      </c>
      <c r="P202" s="90" t="s">
        <v>102</v>
      </c>
      <c r="Q202" s="90" t="s">
        <v>102</v>
      </c>
      <c r="R202" s="90" t="s">
        <v>102</v>
      </c>
      <c r="S202" s="90" t="s">
        <v>102</v>
      </c>
      <c r="T202" s="90" t="s">
        <v>102</v>
      </c>
      <c r="U202" s="90" t="s">
        <v>102</v>
      </c>
      <c r="V202" s="90" t="s">
        <v>102</v>
      </c>
      <c r="W202" s="90" t="s">
        <v>102</v>
      </c>
      <c r="X202" s="90" t="s">
        <v>102</v>
      </c>
      <c r="Y202" s="90" t="s">
        <v>102</v>
      </c>
      <c r="Z202" s="90" t="s">
        <v>102</v>
      </c>
      <c r="AA202" s="90" t="s">
        <v>102</v>
      </c>
    </row>
    <row r="203" spans="1:27" ht="15" x14ac:dyDescent="0.25">
      <c r="A203" s="88" t="s">
        <v>679</v>
      </c>
      <c r="B203" s="88" t="s">
        <v>154</v>
      </c>
      <c r="C203" s="88" t="s">
        <v>680</v>
      </c>
      <c r="D203" s="90" t="s">
        <v>102</v>
      </c>
      <c r="E203" s="90" t="s">
        <v>559</v>
      </c>
      <c r="F203" s="90" t="s">
        <v>102</v>
      </c>
      <c r="G203" s="90" t="s">
        <v>428</v>
      </c>
      <c r="H203" s="90" t="s">
        <v>264</v>
      </c>
      <c r="I203" s="90" t="s">
        <v>125</v>
      </c>
      <c r="J203" s="90" t="s">
        <v>153</v>
      </c>
      <c r="K203" s="90" t="s">
        <v>687</v>
      </c>
      <c r="L203" s="90" t="s">
        <v>688</v>
      </c>
      <c r="M203" s="90" t="s">
        <v>102</v>
      </c>
      <c r="N203" s="90" t="s">
        <v>102</v>
      </c>
      <c r="O203" s="90" t="s">
        <v>102</v>
      </c>
      <c r="P203" s="90" t="s">
        <v>102</v>
      </c>
      <c r="Q203" s="90" t="s">
        <v>102</v>
      </c>
      <c r="R203" s="90" t="s">
        <v>102</v>
      </c>
      <c r="S203" s="90" t="s">
        <v>102</v>
      </c>
      <c r="T203" s="90" t="s">
        <v>102</v>
      </c>
      <c r="U203" s="90" t="s">
        <v>505</v>
      </c>
      <c r="V203" s="90" t="s">
        <v>102</v>
      </c>
      <c r="W203" s="90" t="s">
        <v>102</v>
      </c>
      <c r="X203" s="90" t="s">
        <v>102</v>
      </c>
      <c r="Y203" s="90" t="s">
        <v>102</v>
      </c>
      <c r="Z203" s="90" t="s">
        <v>102</v>
      </c>
      <c r="AA203" s="90" t="s">
        <v>102</v>
      </c>
    </row>
    <row r="204" spans="1:27" ht="15" x14ac:dyDescent="0.25">
      <c r="A204" s="88" t="s">
        <v>689</v>
      </c>
      <c r="B204" s="88" t="s">
        <v>169</v>
      </c>
      <c r="C204" s="88" t="s">
        <v>690</v>
      </c>
      <c r="D204" s="90" t="s">
        <v>102</v>
      </c>
      <c r="E204" s="90" t="s">
        <v>102</v>
      </c>
      <c r="F204" s="90" t="s">
        <v>691</v>
      </c>
      <c r="G204" s="90" t="s">
        <v>102</v>
      </c>
      <c r="H204" s="90" t="s">
        <v>692</v>
      </c>
      <c r="I204" s="90" t="s">
        <v>102</v>
      </c>
      <c r="J204" s="90" t="s">
        <v>693</v>
      </c>
      <c r="K204" s="90" t="s">
        <v>694</v>
      </c>
      <c r="L204" s="90" t="s">
        <v>695</v>
      </c>
      <c r="M204" s="90" t="s">
        <v>102</v>
      </c>
      <c r="N204" s="90" t="s">
        <v>102</v>
      </c>
      <c r="O204" s="90" t="s">
        <v>102</v>
      </c>
      <c r="P204" s="90" t="s">
        <v>102</v>
      </c>
      <c r="Q204" s="90" t="s">
        <v>102</v>
      </c>
      <c r="R204" s="90" t="s">
        <v>102</v>
      </c>
      <c r="S204" s="90" t="s">
        <v>102</v>
      </c>
      <c r="T204" s="90" t="s">
        <v>102</v>
      </c>
      <c r="U204" s="90" t="s">
        <v>102</v>
      </c>
      <c r="V204" s="90" t="s">
        <v>102</v>
      </c>
      <c r="W204" s="90" t="s">
        <v>102</v>
      </c>
      <c r="X204" s="90" t="s">
        <v>102</v>
      </c>
      <c r="Y204" s="90" t="s">
        <v>102</v>
      </c>
      <c r="Z204" s="90" t="s">
        <v>102</v>
      </c>
      <c r="AA204" s="90" t="s">
        <v>102</v>
      </c>
    </row>
    <row r="205" spans="1:27" ht="15" x14ac:dyDescent="0.25">
      <c r="A205" s="88" t="s">
        <v>696</v>
      </c>
      <c r="B205" s="88" t="s">
        <v>144</v>
      </c>
      <c r="C205" s="88" t="s">
        <v>101</v>
      </c>
      <c r="D205" s="90" t="s">
        <v>102</v>
      </c>
      <c r="E205" s="90" t="s">
        <v>102</v>
      </c>
      <c r="F205" s="90" t="s">
        <v>336</v>
      </c>
      <c r="G205" s="90" t="s">
        <v>102</v>
      </c>
      <c r="H205" s="90" t="s">
        <v>372</v>
      </c>
      <c r="I205" s="90" t="s">
        <v>102</v>
      </c>
      <c r="J205" s="90" t="s">
        <v>280</v>
      </c>
      <c r="K205" s="90" t="s">
        <v>119</v>
      </c>
      <c r="L205" s="90" t="s">
        <v>119</v>
      </c>
      <c r="M205" s="90" t="s">
        <v>102</v>
      </c>
      <c r="N205" s="90" t="s">
        <v>102</v>
      </c>
      <c r="O205" s="90" t="s">
        <v>102</v>
      </c>
      <c r="P205" s="90" t="s">
        <v>119</v>
      </c>
      <c r="Q205" s="90" t="s">
        <v>102</v>
      </c>
      <c r="R205" s="90" t="s">
        <v>102</v>
      </c>
      <c r="S205" s="90" t="s">
        <v>102</v>
      </c>
      <c r="T205" s="90" t="s">
        <v>102</v>
      </c>
      <c r="U205" s="90" t="s">
        <v>150</v>
      </c>
      <c r="V205" s="90" t="s">
        <v>102</v>
      </c>
      <c r="W205" s="90" t="s">
        <v>102</v>
      </c>
      <c r="X205" s="90" t="s">
        <v>102</v>
      </c>
      <c r="Y205" s="90" t="s">
        <v>102</v>
      </c>
      <c r="Z205" s="90" t="s">
        <v>102</v>
      </c>
      <c r="AA205" s="90" t="s">
        <v>102</v>
      </c>
    </row>
    <row r="206" spans="1:27" ht="15" x14ac:dyDescent="0.25">
      <c r="A206" s="88" t="s">
        <v>697</v>
      </c>
      <c r="B206" s="88" t="s">
        <v>407</v>
      </c>
      <c r="C206" s="88" t="s">
        <v>698</v>
      </c>
      <c r="D206" s="90" t="s">
        <v>699</v>
      </c>
      <c r="E206" s="90" t="s">
        <v>102</v>
      </c>
      <c r="F206" s="90" t="s">
        <v>699</v>
      </c>
      <c r="G206" s="90" t="s">
        <v>102</v>
      </c>
      <c r="H206" s="90" t="s">
        <v>700</v>
      </c>
      <c r="I206" s="90" t="s">
        <v>102</v>
      </c>
      <c r="J206" s="90" t="s">
        <v>701</v>
      </c>
      <c r="K206" s="90" t="s">
        <v>701</v>
      </c>
      <c r="L206" s="90" t="s">
        <v>702</v>
      </c>
      <c r="M206" s="90" t="s">
        <v>102</v>
      </c>
      <c r="N206" s="90" t="s">
        <v>102</v>
      </c>
      <c r="O206" s="90" t="s">
        <v>102</v>
      </c>
      <c r="P206" s="90" t="s">
        <v>102</v>
      </c>
      <c r="Q206" s="90" t="s">
        <v>102</v>
      </c>
      <c r="R206" s="90" t="s">
        <v>102</v>
      </c>
      <c r="S206" s="90" t="s">
        <v>102</v>
      </c>
      <c r="T206" s="90" t="s">
        <v>102</v>
      </c>
      <c r="U206" s="90" t="s">
        <v>102</v>
      </c>
      <c r="V206" s="90" t="s">
        <v>102</v>
      </c>
      <c r="W206" s="90" t="s">
        <v>102</v>
      </c>
      <c r="X206" s="90" t="s">
        <v>102</v>
      </c>
      <c r="Y206" s="90" t="s">
        <v>102</v>
      </c>
      <c r="Z206" s="90" t="s">
        <v>102</v>
      </c>
      <c r="AA206" s="90" t="s">
        <v>102</v>
      </c>
    </row>
    <row r="207" spans="1:27" ht="15" x14ac:dyDescent="0.25">
      <c r="A207" s="88" t="s">
        <v>703</v>
      </c>
      <c r="B207" s="88" t="s">
        <v>704</v>
      </c>
      <c r="C207" s="88" t="s">
        <v>170</v>
      </c>
      <c r="D207" s="90" t="s">
        <v>104</v>
      </c>
      <c r="E207" s="90" t="s">
        <v>102</v>
      </c>
      <c r="F207" s="90" t="s">
        <v>104</v>
      </c>
      <c r="G207" s="90" t="s">
        <v>102</v>
      </c>
      <c r="H207" s="90" t="s">
        <v>134</v>
      </c>
      <c r="I207" s="90" t="s">
        <v>102</v>
      </c>
      <c r="J207" s="90" t="s">
        <v>116</v>
      </c>
      <c r="K207" s="90" t="s">
        <v>444</v>
      </c>
      <c r="L207" s="90" t="s">
        <v>369</v>
      </c>
      <c r="M207" s="90" t="s">
        <v>102</v>
      </c>
      <c r="N207" s="90" t="s">
        <v>102</v>
      </c>
      <c r="O207" s="90" t="s">
        <v>102</v>
      </c>
      <c r="P207" s="90" t="s">
        <v>369</v>
      </c>
      <c r="Q207" s="90" t="s">
        <v>369</v>
      </c>
      <c r="R207" s="90" t="s">
        <v>102</v>
      </c>
      <c r="S207" s="90" t="s">
        <v>102</v>
      </c>
      <c r="T207" s="90" t="s">
        <v>102</v>
      </c>
      <c r="U207" s="90" t="s">
        <v>102</v>
      </c>
      <c r="V207" s="90" t="s">
        <v>102</v>
      </c>
      <c r="W207" s="90" t="s">
        <v>102</v>
      </c>
      <c r="X207" s="90" t="s">
        <v>102</v>
      </c>
      <c r="Y207" s="90" t="s">
        <v>102</v>
      </c>
      <c r="Z207" s="90" t="s">
        <v>102</v>
      </c>
      <c r="AA207" s="90" t="s">
        <v>102</v>
      </c>
    </row>
    <row r="208" spans="1:27" ht="15" x14ac:dyDescent="0.25">
      <c r="A208" s="88" t="s">
        <v>703</v>
      </c>
      <c r="B208" s="88" t="s">
        <v>705</v>
      </c>
      <c r="C208" s="88" t="s">
        <v>170</v>
      </c>
      <c r="D208" s="90" t="s">
        <v>104</v>
      </c>
      <c r="E208" s="90" t="s">
        <v>102</v>
      </c>
      <c r="F208" s="90" t="s">
        <v>104</v>
      </c>
      <c r="G208" s="90" t="s">
        <v>102</v>
      </c>
      <c r="H208" s="90" t="s">
        <v>134</v>
      </c>
      <c r="I208" s="90" t="s">
        <v>102</v>
      </c>
      <c r="J208" s="90" t="s">
        <v>116</v>
      </c>
      <c r="K208" s="90" t="s">
        <v>444</v>
      </c>
      <c r="L208" s="90" t="s">
        <v>369</v>
      </c>
      <c r="M208" s="90" t="s">
        <v>102</v>
      </c>
      <c r="N208" s="90" t="s">
        <v>102</v>
      </c>
      <c r="O208" s="90" t="s">
        <v>102</v>
      </c>
      <c r="P208" s="90" t="s">
        <v>369</v>
      </c>
      <c r="Q208" s="90" t="s">
        <v>369</v>
      </c>
      <c r="R208" s="90" t="s">
        <v>102</v>
      </c>
      <c r="S208" s="90" t="s">
        <v>102</v>
      </c>
      <c r="T208" s="90" t="s">
        <v>102</v>
      </c>
      <c r="U208" s="90" t="s">
        <v>102</v>
      </c>
      <c r="V208" s="90" t="s">
        <v>102</v>
      </c>
      <c r="W208" s="90" t="s">
        <v>102</v>
      </c>
      <c r="X208" s="90" t="s">
        <v>102</v>
      </c>
      <c r="Y208" s="90" t="s">
        <v>102</v>
      </c>
      <c r="Z208" s="90" t="s">
        <v>102</v>
      </c>
      <c r="AA208" s="90" t="s">
        <v>102</v>
      </c>
    </row>
    <row r="209" spans="1:27" ht="15" x14ac:dyDescent="0.25">
      <c r="A209" s="88" t="s">
        <v>703</v>
      </c>
      <c r="B209" s="88" t="s">
        <v>335</v>
      </c>
      <c r="C209" s="88" t="s">
        <v>170</v>
      </c>
      <c r="D209" s="90" t="s">
        <v>102</v>
      </c>
      <c r="E209" s="90" t="s">
        <v>186</v>
      </c>
      <c r="F209" s="90" t="s">
        <v>186</v>
      </c>
      <c r="G209" s="90" t="s">
        <v>281</v>
      </c>
      <c r="H209" s="90" t="s">
        <v>281</v>
      </c>
      <c r="I209" s="90" t="s">
        <v>102</v>
      </c>
      <c r="J209" s="90" t="s">
        <v>102</v>
      </c>
      <c r="K209" s="90" t="s">
        <v>342</v>
      </c>
      <c r="L209" s="90" t="s">
        <v>102</v>
      </c>
      <c r="M209" s="90" t="s">
        <v>135</v>
      </c>
      <c r="N209" s="90" t="s">
        <v>102</v>
      </c>
      <c r="O209" s="90" t="s">
        <v>102</v>
      </c>
      <c r="P209" s="90" t="s">
        <v>102</v>
      </c>
      <c r="Q209" s="90" t="s">
        <v>213</v>
      </c>
      <c r="R209" s="90" t="s">
        <v>102</v>
      </c>
      <c r="S209" s="90" t="s">
        <v>102</v>
      </c>
      <c r="T209" s="90" t="s">
        <v>102</v>
      </c>
      <c r="U209" s="90" t="s">
        <v>528</v>
      </c>
      <c r="V209" s="90" t="s">
        <v>102</v>
      </c>
      <c r="W209" s="90" t="s">
        <v>102</v>
      </c>
      <c r="X209" s="90" t="s">
        <v>102</v>
      </c>
      <c r="Y209" s="90" t="s">
        <v>102</v>
      </c>
      <c r="Z209" s="90" t="s">
        <v>102</v>
      </c>
      <c r="AA209" s="90" t="s">
        <v>102</v>
      </c>
    </row>
    <row r="210" spans="1:27" ht="15" x14ac:dyDescent="0.25">
      <c r="A210" s="88" t="s">
        <v>703</v>
      </c>
      <c r="B210" s="88" t="s">
        <v>706</v>
      </c>
      <c r="C210" s="88" t="s">
        <v>170</v>
      </c>
      <c r="D210" s="90" t="s">
        <v>104</v>
      </c>
      <c r="E210" s="90" t="s">
        <v>102</v>
      </c>
      <c r="F210" s="90" t="s">
        <v>104</v>
      </c>
      <c r="G210" s="90" t="s">
        <v>102</v>
      </c>
      <c r="H210" s="90" t="s">
        <v>134</v>
      </c>
      <c r="I210" s="90" t="s">
        <v>102</v>
      </c>
      <c r="J210" s="90" t="s">
        <v>116</v>
      </c>
      <c r="K210" s="90" t="s">
        <v>444</v>
      </c>
      <c r="L210" s="90" t="s">
        <v>369</v>
      </c>
      <c r="M210" s="90" t="s">
        <v>102</v>
      </c>
      <c r="N210" s="90" t="s">
        <v>102</v>
      </c>
      <c r="O210" s="90" t="s">
        <v>102</v>
      </c>
      <c r="P210" s="90" t="s">
        <v>369</v>
      </c>
      <c r="Q210" s="90" t="s">
        <v>369</v>
      </c>
      <c r="R210" s="90" t="s">
        <v>102</v>
      </c>
      <c r="S210" s="90" t="s">
        <v>102</v>
      </c>
      <c r="T210" s="90" t="s">
        <v>102</v>
      </c>
      <c r="U210" s="90" t="s">
        <v>102</v>
      </c>
      <c r="V210" s="90" t="s">
        <v>102</v>
      </c>
      <c r="W210" s="90" t="s">
        <v>102</v>
      </c>
      <c r="X210" s="90" t="s">
        <v>102</v>
      </c>
      <c r="Y210" s="90" t="s">
        <v>102</v>
      </c>
      <c r="Z210" s="90" t="s">
        <v>102</v>
      </c>
      <c r="AA210" s="90" t="s">
        <v>102</v>
      </c>
    </row>
    <row r="211" spans="1:27" ht="15" x14ac:dyDescent="0.25">
      <c r="A211" s="88" t="s">
        <v>707</v>
      </c>
      <c r="B211" s="88" t="s">
        <v>154</v>
      </c>
      <c r="C211" s="88" t="s">
        <v>708</v>
      </c>
      <c r="D211" s="90" t="s">
        <v>102</v>
      </c>
      <c r="E211" s="90" t="s">
        <v>102</v>
      </c>
      <c r="F211" s="90" t="s">
        <v>709</v>
      </c>
      <c r="G211" s="90" t="s">
        <v>102</v>
      </c>
      <c r="H211" s="90" t="s">
        <v>710</v>
      </c>
      <c r="I211" s="90" t="s">
        <v>102</v>
      </c>
      <c r="J211" s="90" t="s">
        <v>102</v>
      </c>
      <c r="K211" s="90" t="s">
        <v>102</v>
      </c>
      <c r="L211" s="90" t="s">
        <v>711</v>
      </c>
      <c r="M211" s="90" t="s">
        <v>102</v>
      </c>
      <c r="N211" s="90" t="s">
        <v>102</v>
      </c>
      <c r="O211" s="90" t="s">
        <v>102</v>
      </c>
      <c r="P211" s="90" t="s">
        <v>102</v>
      </c>
      <c r="Q211" s="90" t="s">
        <v>711</v>
      </c>
      <c r="R211" s="90" t="s">
        <v>102</v>
      </c>
      <c r="S211" s="90" t="s">
        <v>102</v>
      </c>
      <c r="T211" s="90" t="s">
        <v>102</v>
      </c>
      <c r="U211" s="90" t="s">
        <v>102</v>
      </c>
      <c r="V211" s="90" t="s">
        <v>102</v>
      </c>
      <c r="W211" s="90" t="s">
        <v>102</v>
      </c>
      <c r="X211" s="90" t="s">
        <v>102</v>
      </c>
      <c r="Y211" s="90" t="s">
        <v>102</v>
      </c>
      <c r="Z211" s="90" t="s">
        <v>102</v>
      </c>
      <c r="AA211" s="90" t="s">
        <v>102</v>
      </c>
    </row>
    <row r="212" spans="1:27" ht="15" x14ac:dyDescent="0.25">
      <c r="A212" s="88" t="s">
        <v>712</v>
      </c>
      <c r="B212" s="88" t="s">
        <v>169</v>
      </c>
      <c r="C212" s="88" t="s">
        <v>713</v>
      </c>
      <c r="D212" s="90" t="s">
        <v>102</v>
      </c>
      <c r="E212" s="90" t="s">
        <v>102</v>
      </c>
      <c r="F212" s="90" t="s">
        <v>445</v>
      </c>
      <c r="G212" s="90" t="s">
        <v>102</v>
      </c>
      <c r="H212" s="90" t="s">
        <v>714</v>
      </c>
      <c r="I212" s="90" t="s">
        <v>102</v>
      </c>
      <c r="J212" s="90" t="s">
        <v>102</v>
      </c>
      <c r="K212" s="90" t="s">
        <v>715</v>
      </c>
      <c r="L212" s="90" t="s">
        <v>102</v>
      </c>
      <c r="M212" s="90" t="s">
        <v>102</v>
      </c>
      <c r="N212" s="90" t="s">
        <v>102</v>
      </c>
      <c r="O212" s="90" t="s">
        <v>102</v>
      </c>
      <c r="P212" s="90" t="s">
        <v>716</v>
      </c>
      <c r="Q212" s="90" t="s">
        <v>102</v>
      </c>
      <c r="R212" s="90" t="s">
        <v>102</v>
      </c>
      <c r="S212" s="90" t="s">
        <v>102</v>
      </c>
      <c r="T212" s="90" t="s">
        <v>102</v>
      </c>
      <c r="U212" s="90" t="s">
        <v>717</v>
      </c>
      <c r="V212" s="90" t="s">
        <v>102</v>
      </c>
      <c r="W212" s="90" t="s">
        <v>102</v>
      </c>
      <c r="X212" s="90" t="s">
        <v>102</v>
      </c>
      <c r="Y212" s="90" t="s">
        <v>102</v>
      </c>
      <c r="Z212" s="90" t="s">
        <v>102</v>
      </c>
      <c r="AA212" s="90" t="s">
        <v>102</v>
      </c>
    </row>
    <row r="213" spans="1:27" ht="15" x14ac:dyDescent="0.25">
      <c r="A213" s="88" t="s">
        <v>712</v>
      </c>
      <c r="B213" s="88" t="s">
        <v>176</v>
      </c>
      <c r="C213" s="88" t="s">
        <v>713</v>
      </c>
      <c r="D213" s="90" t="s">
        <v>125</v>
      </c>
      <c r="E213" s="90" t="s">
        <v>102</v>
      </c>
      <c r="F213" s="90" t="s">
        <v>125</v>
      </c>
      <c r="G213" s="90" t="s">
        <v>102</v>
      </c>
      <c r="H213" s="90" t="s">
        <v>158</v>
      </c>
      <c r="I213" s="90" t="s">
        <v>102</v>
      </c>
      <c r="J213" s="90" t="s">
        <v>110</v>
      </c>
      <c r="K213" s="90" t="s">
        <v>102</v>
      </c>
      <c r="L213" s="90" t="s">
        <v>718</v>
      </c>
      <c r="M213" s="90" t="s">
        <v>102</v>
      </c>
      <c r="N213" s="90" t="s">
        <v>102</v>
      </c>
      <c r="O213" s="90" t="s">
        <v>102</v>
      </c>
      <c r="P213" s="90" t="s">
        <v>102</v>
      </c>
      <c r="Q213" s="90" t="s">
        <v>102</v>
      </c>
      <c r="R213" s="90" t="s">
        <v>102</v>
      </c>
      <c r="S213" s="90" t="s">
        <v>102</v>
      </c>
      <c r="T213" s="90" t="s">
        <v>102</v>
      </c>
      <c r="U213" s="90" t="s">
        <v>102</v>
      </c>
      <c r="V213" s="90" t="s">
        <v>102</v>
      </c>
      <c r="W213" s="90" t="s">
        <v>102</v>
      </c>
      <c r="X213" s="90" t="s">
        <v>102</v>
      </c>
      <c r="Y213" s="90" t="s">
        <v>102</v>
      </c>
      <c r="Z213" s="90" t="s">
        <v>102</v>
      </c>
      <c r="AA213" s="90" t="s">
        <v>102</v>
      </c>
    </row>
    <row r="214" spans="1:27" ht="15" x14ac:dyDescent="0.25">
      <c r="A214" s="88" t="s">
        <v>712</v>
      </c>
      <c r="B214" s="88" t="s">
        <v>154</v>
      </c>
      <c r="C214" s="88" t="s">
        <v>713</v>
      </c>
      <c r="D214" s="90" t="s">
        <v>102</v>
      </c>
      <c r="E214" s="90" t="s">
        <v>102</v>
      </c>
      <c r="F214" s="90" t="s">
        <v>102</v>
      </c>
      <c r="G214" s="90" t="s">
        <v>102</v>
      </c>
      <c r="H214" s="90" t="s">
        <v>102</v>
      </c>
      <c r="I214" s="90" t="s">
        <v>102</v>
      </c>
      <c r="J214" s="90" t="s">
        <v>102</v>
      </c>
      <c r="K214" s="90" t="s">
        <v>102</v>
      </c>
      <c r="L214" s="90" t="s">
        <v>719</v>
      </c>
      <c r="M214" s="90" t="s">
        <v>102</v>
      </c>
      <c r="N214" s="90" t="s">
        <v>102</v>
      </c>
      <c r="O214" s="90" t="s">
        <v>102</v>
      </c>
      <c r="P214" s="90" t="s">
        <v>102</v>
      </c>
      <c r="Q214" s="90" t="s">
        <v>102</v>
      </c>
      <c r="R214" s="90" t="s">
        <v>102</v>
      </c>
      <c r="S214" s="90" t="s">
        <v>702</v>
      </c>
      <c r="T214" s="90" t="s">
        <v>102</v>
      </c>
      <c r="U214" s="90" t="s">
        <v>102</v>
      </c>
      <c r="V214" s="90" t="s">
        <v>102</v>
      </c>
      <c r="W214" s="90" t="s">
        <v>102</v>
      </c>
      <c r="X214" s="90" t="s">
        <v>102</v>
      </c>
      <c r="Y214" s="90" t="s">
        <v>102</v>
      </c>
      <c r="Z214" s="90" t="s">
        <v>102</v>
      </c>
      <c r="AA214" s="90" t="s">
        <v>102</v>
      </c>
    </row>
    <row r="215" spans="1:27" ht="15" x14ac:dyDescent="0.25">
      <c r="A215" s="88" t="s">
        <v>720</v>
      </c>
      <c r="B215" s="88" t="s">
        <v>721</v>
      </c>
      <c r="C215" s="88" t="s">
        <v>170</v>
      </c>
      <c r="D215" s="90" t="s">
        <v>229</v>
      </c>
      <c r="E215" s="90" t="s">
        <v>102</v>
      </c>
      <c r="F215" s="90" t="s">
        <v>147</v>
      </c>
      <c r="G215" s="90" t="s">
        <v>102</v>
      </c>
      <c r="H215" s="90" t="s">
        <v>280</v>
      </c>
      <c r="I215" s="90" t="s">
        <v>102</v>
      </c>
      <c r="J215" s="90" t="s">
        <v>151</v>
      </c>
      <c r="K215" s="90" t="s">
        <v>151</v>
      </c>
      <c r="L215" s="90" t="s">
        <v>152</v>
      </c>
      <c r="M215" s="90" t="s">
        <v>102</v>
      </c>
      <c r="N215" s="90" t="s">
        <v>102</v>
      </c>
      <c r="O215" s="90" t="s">
        <v>102</v>
      </c>
      <c r="P215" s="90" t="s">
        <v>102</v>
      </c>
      <c r="Q215" s="90" t="s">
        <v>102</v>
      </c>
      <c r="R215" s="90" t="s">
        <v>102</v>
      </c>
      <c r="S215" s="90" t="s">
        <v>102</v>
      </c>
      <c r="T215" s="90" t="s">
        <v>102</v>
      </c>
      <c r="U215" s="90" t="s">
        <v>102</v>
      </c>
      <c r="V215" s="90" t="s">
        <v>102</v>
      </c>
      <c r="W215" s="90" t="s">
        <v>153</v>
      </c>
      <c r="X215" s="90" t="s">
        <v>102</v>
      </c>
      <c r="Y215" s="90" t="s">
        <v>102</v>
      </c>
      <c r="Z215" s="90" t="s">
        <v>102</v>
      </c>
      <c r="AA215" s="90" t="s">
        <v>102</v>
      </c>
    </row>
    <row r="216" spans="1:27" ht="15" x14ac:dyDescent="0.25">
      <c r="A216" s="88" t="s">
        <v>720</v>
      </c>
      <c r="B216" s="88" t="s">
        <v>722</v>
      </c>
      <c r="C216" s="88" t="s">
        <v>723</v>
      </c>
      <c r="D216" s="90" t="s">
        <v>102</v>
      </c>
      <c r="E216" s="90" t="s">
        <v>102</v>
      </c>
      <c r="F216" s="90" t="s">
        <v>138</v>
      </c>
      <c r="G216" s="90" t="s">
        <v>102</v>
      </c>
      <c r="H216" s="90" t="s">
        <v>157</v>
      </c>
      <c r="I216" s="90" t="s">
        <v>102</v>
      </c>
      <c r="J216" s="90" t="s">
        <v>388</v>
      </c>
      <c r="K216" s="90" t="s">
        <v>102</v>
      </c>
      <c r="L216" s="90" t="s">
        <v>141</v>
      </c>
      <c r="M216" s="90" t="s">
        <v>102</v>
      </c>
      <c r="N216" s="90" t="s">
        <v>102</v>
      </c>
      <c r="O216" s="90" t="s">
        <v>102</v>
      </c>
      <c r="P216" s="90" t="s">
        <v>102</v>
      </c>
      <c r="Q216" s="90" t="s">
        <v>102</v>
      </c>
      <c r="R216" s="90" t="s">
        <v>102</v>
      </c>
      <c r="S216" s="90" t="s">
        <v>102</v>
      </c>
      <c r="T216" s="90" t="s">
        <v>102</v>
      </c>
      <c r="U216" s="90" t="s">
        <v>102</v>
      </c>
      <c r="V216" s="90" t="s">
        <v>102</v>
      </c>
      <c r="W216" s="90" t="s">
        <v>102</v>
      </c>
      <c r="X216" s="90" t="s">
        <v>102</v>
      </c>
      <c r="Y216" s="90" t="s">
        <v>102</v>
      </c>
      <c r="Z216" s="90" t="s">
        <v>102</v>
      </c>
      <c r="AA216" s="90" t="s">
        <v>102</v>
      </c>
    </row>
    <row r="217" spans="1:27" ht="15" x14ac:dyDescent="0.25">
      <c r="A217" s="88" t="s">
        <v>720</v>
      </c>
      <c r="B217" s="88" t="s">
        <v>724</v>
      </c>
      <c r="C217" s="88" t="s">
        <v>723</v>
      </c>
      <c r="D217" s="90" t="s">
        <v>102</v>
      </c>
      <c r="E217" s="90" t="s">
        <v>102</v>
      </c>
      <c r="F217" s="90" t="s">
        <v>138</v>
      </c>
      <c r="G217" s="90" t="s">
        <v>102</v>
      </c>
      <c r="H217" s="90" t="s">
        <v>157</v>
      </c>
      <c r="I217" s="90" t="s">
        <v>102</v>
      </c>
      <c r="J217" s="90" t="s">
        <v>388</v>
      </c>
      <c r="K217" s="90" t="s">
        <v>102</v>
      </c>
      <c r="L217" s="90" t="s">
        <v>141</v>
      </c>
      <c r="M217" s="90" t="s">
        <v>102</v>
      </c>
      <c r="N217" s="90" t="s">
        <v>102</v>
      </c>
      <c r="O217" s="90" t="s">
        <v>102</v>
      </c>
      <c r="P217" s="90" t="s">
        <v>102</v>
      </c>
      <c r="Q217" s="90" t="s">
        <v>102</v>
      </c>
      <c r="R217" s="90" t="s">
        <v>102</v>
      </c>
      <c r="S217" s="90" t="s">
        <v>102</v>
      </c>
      <c r="T217" s="90" t="s">
        <v>102</v>
      </c>
      <c r="U217" s="90" t="s">
        <v>102</v>
      </c>
      <c r="V217" s="90" t="s">
        <v>102</v>
      </c>
      <c r="W217" s="90" t="s">
        <v>102</v>
      </c>
      <c r="X217" s="90" t="s">
        <v>102</v>
      </c>
      <c r="Y217" s="90" t="s">
        <v>102</v>
      </c>
      <c r="Z217" s="90" t="s">
        <v>102</v>
      </c>
      <c r="AA217" s="90" t="s">
        <v>102</v>
      </c>
    </row>
    <row r="218" spans="1:27" x14ac:dyDescent="0.2">
      <c r="A218" s="91"/>
      <c r="B218" s="91"/>
      <c r="C218" s="91"/>
      <c r="D218" s="91"/>
      <c r="E218" s="91"/>
      <c r="F218" s="91"/>
      <c r="G218" s="91"/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91"/>
      <c r="S218" s="91"/>
      <c r="T218" s="91"/>
      <c r="U218" s="91"/>
      <c r="V218" s="91"/>
      <c r="W218" s="91"/>
      <c r="X218" s="91"/>
      <c r="Y218" s="91"/>
      <c r="Z218" s="91"/>
      <c r="AA218" s="91"/>
    </row>
    <row r="219" spans="1:27" x14ac:dyDescent="0.2">
      <c r="A219" s="91"/>
      <c r="B219" s="91"/>
      <c r="C219" s="91"/>
      <c r="D219" s="91"/>
      <c r="E219" s="91"/>
      <c r="F219" s="91"/>
      <c r="G219" s="91"/>
      <c r="H219" s="91"/>
      <c r="I219" s="91"/>
      <c r="J219" s="91"/>
      <c r="K219" s="91"/>
      <c r="L219" s="91"/>
      <c r="M219" s="91"/>
      <c r="N219" s="91"/>
      <c r="O219" s="91"/>
      <c r="P219" s="91"/>
      <c r="Q219" s="91"/>
      <c r="R219" s="91"/>
      <c r="S219" s="91"/>
      <c r="T219" s="91"/>
      <c r="U219" s="91"/>
      <c r="V219" s="91"/>
      <c r="W219" s="91"/>
      <c r="X219" s="91"/>
      <c r="Y219" s="91"/>
      <c r="Z219" s="91"/>
      <c r="AA219" s="91"/>
    </row>
    <row r="220" spans="1:27" x14ac:dyDescent="0.2">
      <c r="A220" s="91"/>
      <c r="B220" s="91"/>
      <c r="C220" s="91"/>
      <c r="D220" s="91"/>
      <c r="E220" s="91"/>
      <c r="F220" s="91"/>
      <c r="G220" s="91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91"/>
      <c r="S220" s="91"/>
      <c r="T220" s="91"/>
      <c r="U220" s="91"/>
      <c r="V220" s="91"/>
      <c r="W220" s="91"/>
      <c r="X220" s="91"/>
      <c r="Y220" s="91"/>
      <c r="Z220" s="91"/>
      <c r="AA220" s="91"/>
    </row>
    <row r="221" spans="1:27" x14ac:dyDescent="0.2">
      <c r="A221" s="91"/>
      <c r="B221" s="91"/>
      <c r="C221" s="91"/>
      <c r="D221" s="91"/>
      <c r="E221" s="91"/>
      <c r="F221" s="91"/>
      <c r="G221" s="91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1"/>
      <c r="S221" s="91"/>
      <c r="T221" s="91"/>
      <c r="U221" s="91"/>
      <c r="V221" s="91"/>
      <c r="W221" s="91"/>
      <c r="X221" s="91"/>
      <c r="Y221" s="91"/>
      <c r="Z221" s="91"/>
      <c r="AA221" s="91"/>
    </row>
    <row r="222" spans="1:27" x14ac:dyDescent="0.2">
      <c r="A222" s="91"/>
      <c r="B222" s="91"/>
      <c r="C222" s="91"/>
      <c r="D222" s="91"/>
      <c r="E222" s="91"/>
      <c r="F222" s="91"/>
      <c r="G222" s="91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91"/>
      <c r="S222" s="91"/>
      <c r="T222" s="91"/>
      <c r="U222" s="91"/>
      <c r="V222" s="91"/>
      <c r="W222" s="91"/>
      <c r="X222" s="91"/>
      <c r="Y222" s="91"/>
      <c r="Z222" s="91"/>
      <c r="AA222" s="91"/>
    </row>
    <row r="223" spans="1:27" x14ac:dyDescent="0.2">
      <c r="A223" s="91"/>
      <c r="B223" s="91"/>
      <c r="C223" s="91"/>
      <c r="D223" s="91"/>
      <c r="E223" s="91"/>
      <c r="F223" s="91"/>
      <c r="G223" s="91"/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91"/>
      <c r="S223" s="91"/>
      <c r="T223" s="91"/>
      <c r="U223" s="91"/>
      <c r="V223" s="91"/>
      <c r="W223" s="91"/>
      <c r="X223" s="91"/>
      <c r="Y223" s="91"/>
      <c r="Z223" s="91"/>
      <c r="AA223" s="91"/>
    </row>
    <row r="224" spans="1:27" x14ac:dyDescent="0.2">
      <c r="A224" s="91"/>
      <c r="B224" s="91"/>
      <c r="C224" s="91"/>
      <c r="D224" s="91"/>
      <c r="E224" s="91"/>
      <c r="F224" s="91"/>
      <c r="G224" s="91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1"/>
      <c r="S224" s="91"/>
      <c r="T224" s="91"/>
      <c r="U224" s="91"/>
      <c r="V224" s="91"/>
      <c r="W224" s="91"/>
      <c r="X224" s="91"/>
      <c r="Y224" s="91"/>
      <c r="Z224" s="91"/>
      <c r="AA224" s="91"/>
    </row>
    <row r="225" spans="1:27" x14ac:dyDescent="0.2">
      <c r="A225" s="91"/>
      <c r="B225" s="91"/>
      <c r="C225" s="91"/>
      <c r="D225" s="91"/>
      <c r="E225" s="91"/>
      <c r="F225" s="91"/>
      <c r="G225" s="91"/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1"/>
      <c r="S225" s="91"/>
      <c r="T225" s="91"/>
      <c r="U225" s="91"/>
      <c r="V225" s="91"/>
      <c r="W225" s="91"/>
      <c r="X225" s="91"/>
      <c r="Y225" s="91"/>
      <c r="Z225" s="91"/>
      <c r="AA225" s="91"/>
    </row>
    <row r="226" spans="1:27" x14ac:dyDescent="0.2">
      <c r="A226" s="91"/>
      <c r="B226" s="91"/>
      <c r="C226" s="91"/>
      <c r="D226" s="91"/>
      <c r="E226" s="91"/>
      <c r="F226" s="91"/>
      <c r="G226" s="91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1"/>
      <c r="S226" s="91"/>
      <c r="T226" s="91"/>
      <c r="U226" s="91"/>
      <c r="V226" s="91"/>
      <c r="W226" s="91"/>
      <c r="X226" s="91"/>
      <c r="Y226" s="91"/>
      <c r="Z226" s="91"/>
      <c r="AA226" s="91"/>
    </row>
    <row r="227" spans="1:27" x14ac:dyDescent="0.2">
      <c r="A227" s="91"/>
      <c r="B227" s="91"/>
      <c r="C227" s="91"/>
      <c r="D227" s="91"/>
      <c r="E227" s="91"/>
      <c r="F227" s="91"/>
      <c r="G227" s="91"/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91"/>
      <c r="S227" s="91"/>
      <c r="T227" s="91"/>
      <c r="U227" s="91"/>
      <c r="V227" s="91"/>
      <c r="W227" s="91"/>
      <c r="X227" s="91"/>
      <c r="Y227" s="91"/>
      <c r="Z227" s="91"/>
      <c r="AA227" s="91"/>
    </row>
    <row r="228" spans="1:27" x14ac:dyDescent="0.2">
      <c r="A228" s="91"/>
      <c r="B228" s="91"/>
      <c r="C228" s="91"/>
      <c r="D228" s="91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  <c r="U228" s="91"/>
      <c r="V228" s="91"/>
      <c r="W228" s="91"/>
      <c r="X228" s="91"/>
      <c r="Y228" s="91"/>
      <c r="Z228" s="91"/>
      <c r="AA228" s="91"/>
    </row>
    <row r="229" spans="1:27" x14ac:dyDescent="0.2">
      <c r="A229" s="91"/>
      <c r="B229" s="91"/>
      <c r="C229" s="91"/>
      <c r="D229" s="91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1"/>
      <c r="S229" s="91"/>
      <c r="T229" s="91"/>
      <c r="U229" s="91"/>
      <c r="V229" s="91"/>
      <c r="W229" s="91"/>
      <c r="X229" s="91"/>
      <c r="Y229" s="91"/>
      <c r="Z229" s="91"/>
      <c r="AA229" s="91"/>
    </row>
    <row r="230" spans="1:27" x14ac:dyDescent="0.2">
      <c r="A230" s="91"/>
      <c r="B230" s="91"/>
      <c r="C230" s="91"/>
      <c r="D230" s="91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1"/>
      <c r="S230" s="91"/>
      <c r="T230" s="91"/>
      <c r="U230" s="91"/>
      <c r="V230" s="91"/>
      <c r="W230" s="91"/>
      <c r="X230" s="91"/>
      <c r="Y230" s="91"/>
      <c r="Z230" s="91"/>
      <c r="AA230" s="91"/>
    </row>
    <row r="231" spans="1:27" x14ac:dyDescent="0.2">
      <c r="A231" s="91"/>
      <c r="B231" s="91"/>
      <c r="C231" s="91"/>
      <c r="D231" s="91"/>
      <c r="E231" s="91"/>
      <c r="F231" s="91"/>
      <c r="G231" s="91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1"/>
      <c r="S231" s="91"/>
      <c r="T231" s="91"/>
      <c r="U231" s="91"/>
      <c r="V231" s="91"/>
      <c r="W231" s="91"/>
      <c r="X231" s="91"/>
      <c r="Y231" s="91"/>
      <c r="Z231" s="91"/>
      <c r="AA231" s="91"/>
    </row>
    <row r="232" spans="1:27" x14ac:dyDescent="0.2">
      <c r="A232" s="91"/>
      <c r="B232" s="91"/>
      <c r="C232" s="91"/>
      <c r="D232" s="91"/>
      <c r="E232" s="91"/>
      <c r="F232" s="91"/>
      <c r="G232" s="91"/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91"/>
      <c r="S232" s="91"/>
      <c r="T232" s="91"/>
      <c r="U232" s="91"/>
      <c r="V232" s="91"/>
      <c r="W232" s="91"/>
      <c r="X232" s="91"/>
      <c r="Y232" s="91"/>
      <c r="Z232" s="91"/>
      <c r="AA232" s="91"/>
    </row>
    <row r="233" spans="1:27" x14ac:dyDescent="0.2">
      <c r="A233" s="91"/>
      <c r="B233" s="91"/>
      <c r="C233" s="91"/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91"/>
      <c r="S233" s="91"/>
      <c r="T233" s="91"/>
      <c r="U233" s="91"/>
      <c r="V233" s="91"/>
      <c r="W233" s="91"/>
      <c r="X233" s="91"/>
      <c r="Y233" s="91"/>
      <c r="Z233" s="91"/>
      <c r="AA233" s="91"/>
    </row>
    <row r="234" spans="1:27" x14ac:dyDescent="0.2">
      <c r="A234" s="91"/>
      <c r="B234" s="91"/>
      <c r="C234" s="91"/>
      <c r="D234" s="91"/>
      <c r="E234" s="91"/>
      <c r="F234" s="91"/>
      <c r="G234" s="91"/>
      <c r="H234" s="91"/>
      <c r="I234" s="91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  <c r="X234" s="91"/>
      <c r="Y234" s="91"/>
      <c r="Z234" s="91"/>
      <c r="AA234" s="91"/>
    </row>
    <row r="235" spans="1:27" x14ac:dyDescent="0.2">
      <c r="A235" s="91"/>
      <c r="B235" s="91"/>
      <c r="C235" s="91"/>
      <c r="D235" s="91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  <c r="X235" s="91"/>
      <c r="Y235" s="91"/>
      <c r="Z235" s="91"/>
      <c r="AA235" s="91"/>
    </row>
    <row r="236" spans="1:27" x14ac:dyDescent="0.2">
      <c r="A236" s="91"/>
      <c r="B236" s="91"/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1"/>
      <c r="Z236" s="91"/>
      <c r="AA236" s="91"/>
    </row>
    <row r="237" spans="1:27" x14ac:dyDescent="0.2">
      <c r="A237" s="91"/>
      <c r="B237" s="91"/>
      <c r="C237" s="91"/>
      <c r="D237" s="91"/>
      <c r="E237" s="91"/>
      <c r="F237" s="91"/>
      <c r="G237" s="91"/>
      <c r="H237" s="91"/>
      <c r="I237" s="91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  <c r="X237" s="91"/>
      <c r="Y237" s="91"/>
      <c r="Z237" s="91"/>
      <c r="AA237" s="91"/>
    </row>
    <row r="238" spans="1:27" x14ac:dyDescent="0.2">
      <c r="A238" s="91"/>
      <c r="B238" s="91"/>
      <c r="C238" s="91"/>
      <c r="D238" s="91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  <c r="X238" s="91"/>
      <c r="Y238" s="91"/>
      <c r="Z238" s="91"/>
      <c r="AA238" s="91"/>
    </row>
    <row r="239" spans="1:27" x14ac:dyDescent="0.2">
      <c r="A239" s="91"/>
      <c r="B239" s="91"/>
      <c r="C239" s="91"/>
      <c r="D239" s="91"/>
      <c r="E239" s="91"/>
      <c r="F239" s="91"/>
      <c r="G239" s="91"/>
      <c r="H239" s="91"/>
      <c r="I239" s="91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  <c r="X239" s="91"/>
      <c r="Y239" s="91"/>
      <c r="Z239" s="91"/>
      <c r="AA239" s="91"/>
    </row>
    <row r="240" spans="1:27" x14ac:dyDescent="0.2">
      <c r="A240" s="91"/>
      <c r="B240" s="91"/>
      <c r="C240" s="91"/>
      <c r="D240" s="91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  <c r="R240" s="91"/>
      <c r="S240" s="91"/>
      <c r="T240" s="91"/>
      <c r="U240" s="91"/>
      <c r="V240" s="91"/>
      <c r="W240" s="91"/>
      <c r="X240" s="91"/>
      <c r="Y240" s="91"/>
      <c r="Z240" s="91"/>
      <c r="AA240" s="91"/>
    </row>
    <row r="241" spans="1:27" x14ac:dyDescent="0.2">
      <c r="A241" s="91"/>
      <c r="B241" s="91"/>
      <c r="C241" s="91"/>
      <c r="D241" s="91"/>
      <c r="E241" s="91"/>
      <c r="F241" s="91"/>
      <c r="G241" s="91"/>
      <c r="H241" s="91"/>
      <c r="I241" s="91"/>
      <c r="J241" s="91"/>
      <c r="K241" s="91"/>
      <c r="L241" s="91"/>
      <c r="M241" s="91"/>
      <c r="N241" s="91"/>
      <c r="O241" s="91"/>
      <c r="P241" s="91"/>
      <c r="Q241" s="91"/>
      <c r="R241" s="91"/>
      <c r="S241" s="91"/>
      <c r="T241" s="91"/>
      <c r="U241" s="91"/>
      <c r="V241" s="91"/>
      <c r="W241" s="91"/>
      <c r="X241" s="91"/>
      <c r="Y241" s="91"/>
      <c r="Z241" s="91"/>
      <c r="AA241" s="91"/>
    </row>
    <row r="242" spans="1:27" x14ac:dyDescent="0.2">
      <c r="A242" s="91"/>
      <c r="B242" s="91"/>
      <c r="C242" s="91"/>
      <c r="D242" s="91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  <c r="R242" s="91"/>
      <c r="S242" s="91"/>
      <c r="T242" s="91"/>
      <c r="U242" s="91"/>
      <c r="V242" s="91"/>
      <c r="W242" s="91"/>
      <c r="X242" s="91"/>
      <c r="Y242" s="91"/>
      <c r="Z242" s="91"/>
      <c r="AA242" s="91"/>
    </row>
    <row r="243" spans="1:27" x14ac:dyDescent="0.2">
      <c r="A243" s="91"/>
      <c r="B243" s="91"/>
      <c r="C243" s="91"/>
      <c r="D243" s="91"/>
      <c r="E243" s="91"/>
      <c r="F243" s="91"/>
      <c r="G243" s="91"/>
      <c r="H243" s="91"/>
      <c r="I243" s="91"/>
      <c r="J243" s="91"/>
      <c r="K243" s="91"/>
      <c r="L243" s="91"/>
      <c r="M243" s="91"/>
      <c r="N243" s="91"/>
      <c r="O243" s="91"/>
      <c r="P243" s="91"/>
      <c r="Q243" s="91"/>
      <c r="R243" s="91"/>
      <c r="S243" s="91"/>
      <c r="T243" s="91"/>
      <c r="U243" s="91"/>
      <c r="V243" s="91"/>
      <c r="W243" s="91"/>
      <c r="X243" s="91"/>
      <c r="Y243" s="91"/>
      <c r="Z243" s="91"/>
      <c r="AA243" s="91"/>
    </row>
    <row r="244" spans="1:27" x14ac:dyDescent="0.2">
      <c r="A244" s="91"/>
      <c r="B244" s="91"/>
      <c r="C244" s="91"/>
      <c r="D244" s="91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91"/>
      <c r="S244" s="91"/>
      <c r="T244" s="91"/>
      <c r="U244" s="91"/>
      <c r="V244" s="91"/>
      <c r="W244" s="91"/>
      <c r="X244" s="91"/>
      <c r="Y244" s="91"/>
      <c r="Z244" s="91"/>
      <c r="AA244" s="91"/>
    </row>
    <row r="245" spans="1:27" x14ac:dyDescent="0.2">
      <c r="A245" s="91"/>
      <c r="B245" s="91"/>
      <c r="C245" s="91"/>
      <c r="D245" s="91"/>
      <c r="E245" s="91"/>
      <c r="F245" s="91"/>
      <c r="G245" s="91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91"/>
      <c r="S245" s="91"/>
      <c r="T245" s="91"/>
      <c r="U245" s="91"/>
      <c r="V245" s="91"/>
      <c r="W245" s="91"/>
      <c r="X245" s="91"/>
      <c r="Y245" s="91"/>
      <c r="Z245" s="91"/>
      <c r="AA245" s="91"/>
    </row>
    <row r="246" spans="1:27" x14ac:dyDescent="0.2">
      <c r="A246" s="91"/>
      <c r="B246" s="91"/>
      <c r="C246" s="91"/>
      <c r="D246" s="91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91"/>
      <c r="S246" s="91"/>
      <c r="T246" s="91"/>
      <c r="U246" s="91"/>
      <c r="V246" s="91"/>
      <c r="W246" s="91"/>
      <c r="X246" s="91"/>
      <c r="Y246" s="91"/>
      <c r="Z246" s="91"/>
      <c r="AA246" s="91"/>
    </row>
    <row r="247" spans="1:27" x14ac:dyDescent="0.2">
      <c r="A247" s="91"/>
      <c r="B247" s="91"/>
      <c r="C247" s="91"/>
      <c r="D247" s="91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91"/>
      <c r="S247" s="91"/>
      <c r="T247" s="91"/>
      <c r="U247" s="91"/>
      <c r="V247" s="91"/>
      <c r="W247" s="91"/>
      <c r="X247" s="91"/>
      <c r="Y247" s="91"/>
      <c r="Z247" s="91"/>
      <c r="AA247" s="91"/>
    </row>
    <row r="248" spans="1:27" x14ac:dyDescent="0.2">
      <c r="A248" s="91"/>
      <c r="B248" s="91"/>
      <c r="C248" s="91"/>
      <c r="D248" s="91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91"/>
      <c r="S248" s="91"/>
      <c r="T248" s="91"/>
      <c r="U248" s="91"/>
      <c r="V248" s="91"/>
      <c r="W248" s="91"/>
      <c r="X248" s="91"/>
      <c r="Y248" s="91"/>
      <c r="Z248" s="91"/>
      <c r="AA248" s="91"/>
    </row>
    <row r="249" spans="1:27" x14ac:dyDescent="0.2">
      <c r="A249" s="91"/>
      <c r="B249" s="91"/>
      <c r="C249" s="91"/>
      <c r="D249" s="91"/>
      <c r="E249" s="91"/>
      <c r="F249" s="91"/>
      <c r="G249" s="91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91"/>
      <c r="S249" s="91"/>
      <c r="T249" s="91"/>
      <c r="U249" s="91"/>
      <c r="V249" s="91"/>
      <c r="W249" s="91"/>
      <c r="X249" s="91"/>
      <c r="Y249" s="91"/>
      <c r="Z249" s="91"/>
      <c r="AA249" s="91"/>
    </row>
    <row r="250" spans="1:27" x14ac:dyDescent="0.2">
      <c r="A250" s="91"/>
      <c r="B250" s="91"/>
      <c r="C250" s="91"/>
      <c r="D250" s="91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91"/>
      <c r="S250" s="91"/>
      <c r="T250" s="91"/>
      <c r="U250" s="91"/>
      <c r="V250" s="91"/>
      <c r="W250" s="91"/>
      <c r="X250" s="91"/>
      <c r="Y250" s="91"/>
      <c r="Z250" s="91"/>
      <c r="AA250" s="91"/>
    </row>
    <row r="251" spans="1:27" x14ac:dyDescent="0.2">
      <c r="A251" s="91"/>
      <c r="B251" s="91"/>
      <c r="C251" s="91"/>
      <c r="D251" s="91"/>
      <c r="E251" s="91"/>
      <c r="F251" s="91"/>
      <c r="G251" s="91"/>
      <c r="H251" s="91"/>
      <c r="I251" s="91"/>
      <c r="J251" s="91"/>
      <c r="K251" s="91"/>
      <c r="L251" s="91"/>
      <c r="M251" s="91"/>
      <c r="N251" s="91"/>
      <c r="O251" s="91"/>
      <c r="P251" s="91"/>
      <c r="Q251" s="91"/>
      <c r="R251" s="91"/>
      <c r="S251" s="91"/>
      <c r="T251" s="91"/>
      <c r="U251" s="91"/>
      <c r="V251" s="91"/>
      <c r="W251" s="91"/>
      <c r="X251" s="91"/>
      <c r="Y251" s="91"/>
      <c r="Z251" s="91"/>
      <c r="AA251" s="91"/>
    </row>
    <row r="252" spans="1:27" x14ac:dyDescent="0.2">
      <c r="A252" s="91"/>
      <c r="B252" s="91"/>
      <c r="C252" s="91"/>
      <c r="D252" s="91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91"/>
      <c r="S252" s="91"/>
      <c r="T252" s="91"/>
      <c r="U252" s="91"/>
      <c r="V252" s="91"/>
      <c r="W252" s="91"/>
      <c r="X252" s="91"/>
      <c r="Y252" s="91"/>
      <c r="Z252" s="91"/>
      <c r="AA252" s="91"/>
    </row>
    <row r="253" spans="1:27" x14ac:dyDescent="0.2">
      <c r="A253" s="91"/>
      <c r="B253" s="91"/>
      <c r="C253" s="91"/>
      <c r="D253" s="91"/>
      <c r="E253" s="91"/>
      <c r="F253" s="91"/>
      <c r="G253" s="91"/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91"/>
      <c r="S253" s="91"/>
      <c r="T253" s="91"/>
      <c r="U253" s="91"/>
      <c r="V253" s="91"/>
      <c r="W253" s="91"/>
      <c r="X253" s="91"/>
      <c r="Y253" s="91"/>
      <c r="Z253" s="91"/>
      <c r="AA253" s="91"/>
    </row>
    <row r="254" spans="1:27" x14ac:dyDescent="0.2">
      <c r="A254" s="91"/>
      <c r="B254" s="91"/>
      <c r="C254" s="91"/>
      <c r="D254" s="91"/>
      <c r="E254" s="91"/>
      <c r="F254" s="91"/>
      <c r="G254" s="91"/>
      <c r="H254" s="91"/>
      <c r="I254" s="91"/>
      <c r="J254" s="91"/>
      <c r="K254" s="91"/>
      <c r="L254" s="91"/>
      <c r="M254" s="91"/>
      <c r="N254" s="91"/>
      <c r="O254" s="91"/>
      <c r="P254" s="91"/>
      <c r="Q254" s="91"/>
      <c r="R254" s="91"/>
      <c r="S254" s="91"/>
      <c r="T254" s="91"/>
      <c r="U254" s="91"/>
      <c r="V254" s="91"/>
      <c r="W254" s="91"/>
      <c r="X254" s="91"/>
      <c r="Y254" s="91"/>
      <c r="Z254" s="91"/>
      <c r="AA254" s="91"/>
    </row>
    <row r="255" spans="1:27" x14ac:dyDescent="0.2">
      <c r="A255" s="91"/>
      <c r="B255" s="91"/>
      <c r="C255" s="91"/>
      <c r="D255" s="91"/>
      <c r="E255" s="91"/>
      <c r="F255" s="91"/>
      <c r="G255" s="91"/>
      <c r="H255" s="91"/>
      <c r="I255" s="91"/>
      <c r="J255" s="91"/>
      <c r="K255" s="91"/>
      <c r="L255" s="91"/>
      <c r="M255" s="91"/>
      <c r="N255" s="91"/>
      <c r="O255" s="91"/>
      <c r="P255" s="91"/>
      <c r="Q255" s="91"/>
      <c r="R255" s="91"/>
      <c r="S255" s="91"/>
      <c r="T255" s="91"/>
      <c r="U255" s="91"/>
      <c r="V255" s="91"/>
      <c r="W255" s="91"/>
      <c r="X255" s="91"/>
      <c r="Y255" s="91"/>
      <c r="Z255" s="91"/>
      <c r="AA255" s="91"/>
    </row>
    <row r="256" spans="1:27" x14ac:dyDescent="0.2">
      <c r="A256" s="91"/>
      <c r="B256" s="91"/>
      <c r="C256" s="91"/>
      <c r="D256" s="91"/>
      <c r="E256" s="91"/>
      <c r="F256" s="91"/>
      <c r="G256" s="91"/>
      <c r="H256" s="91"/>
      <c r="I256" s="91"/>
      <c r="J256" s="91"/>
      <c r="K256" s="91"/>
      <c r="L256" s="91"/>
      <c r="M256" s="91"/>
      <c r="N256" s="91"/>
      <c r="O256" s="91"/>
      <c r="P256" s="91"/>
      <c r="Q256" s="91"/>
      <c r="R256" s="91"/>
      <c r="S256" s="91"/>
      <c r="T256" s="91"/>
      <c r="U256" s="91"/>
      <c r="V256" s="91"/>
      <c r="W256" s="91"/>
      <c r="X256" s="91"/>
      <c r="Y256" s="91"/>
      <c r="Z256" s="91"/>
      <c r="AA256" s="91"/>
    </row>
    <row r="257" spans="1:27" x14ac:dyDescent="0.2">
      <c r="A257" s="91"/>
      <c r="B257" s="91"/>
      <c r="C257" s="91"/>
      <c r="D257" s="91"/>
      <c r="E257" s="91"/>
      <c r="F257" s="91"/>
      <c r="G257" s="91"/>
      <c r="H257" s="91"/>
      <c r="I257" s="91"/>
      <c r="J257" s="91"/>
      <c r="K257" s="91"/>
      <c r="L257" s="91"/>
      <c r="M257" s="91"/>
      <c r="N257" s="91"/>
      <c r="O257" s="91"/>
      <c r="P257" s="91"/>
      <c r="Q257" s="91"/>
      <c r="R257" s="91"/>
      <c r="S257" s="91"/>
      <c r="T257" s="91"/>
      <c r="U257" s="91"/>
      <c r="V257" s="91"/>
      <c r="W257" s="91"/>
      <c r="X257" s="91"/>
      <c r="Y257" s="91"/>
      <c r="Z257" s="91"/>
      <c r="AA257" s="91"/>
    </row>
    <row r="258" spans="1:27" x14ac:dyDescent="0.2">
      <c r="A258" s="91"/>
      <c r="B258" s="91"/>
      <c r="C258" s="91"/>
      <c r="D258" s="91"/>
      <c r="E258" s="91"/>
      <c r="F258" s="91"/>
      <c r="G258" s="91"/>
      <c r="H258" s="91"/>
      <c r="I258" s="91"/>
      <c r="J258" s="91"/>
      <c r="K258" s="91"/>
      <c r="L258" s="91"/>
      <c r="M258" s="91"/>
      <c r="N258" s="91"/>
      <c r="O258" s="91"/>
      <c r="P258" s="91"/>
      <c r="Q258" s="91"/>
      <c r="R258" s="91"/>
      <c r="S258" s="91"/>
      <c r="T258" s="91"/>
      <c r="U258" s="91"/>
      <c r="V258" s="91"/>
      <c r="W258" s="91"/>
      <c r="X258" s="91"/>
      <c r="Y258" s="91"/>
      <c r="Z258" s="91"/>
      <c r="AA258" s="91"/>
    </row>
    <row r="259" spans="1:27" x14ac:dyDescent="0.2">
      <c r="A259" s="91"/>
      <c r="B259" s="91"/>
      <c r="C259" s="91"/>
      <c r="D259" s="91"/>
      <c r="E259" s="91"/>
      <c r="F259" s="91"/>
      <c r="G259" s="91"/>
      <c r="H259" s="91"/>
      <c r="I259" s="91"/>
      <c r="J259" s="91"/>
      <c r="K259" s="91"/>
      <c r="L259" s="91"/>
      <c r="M259" s="91"/>
      <c r="N259" s="91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</row>
    <row r="260" spans="1:27" x14ac:dyDescent="0.2">
      <c r="A260" s="91"/>
      <c r="B260" s="91"/>
      <c r="C260" s="91"/>
      <c r="D260" s="91"/>
      <c r="E260" s="91"/>
      <c r="F260" s="91"/>
      <c r="G260" s="91"/>
      <c r="H260" s="91"/>
      <c r="I260" s="91"/>
      <c r="J260" s="91"/>
      <c r="K260" s="91"/>
      <c r="L260" s="91"/>
      <c r="M260" s="91"/>
      <c r="N260" s="91"/>
      <c r="O260" s="91"/>
      <c r="P260" s="91"/>
      <c r="Q260" s="91"/>
      <c r="R260" s="91"/>
      <c r="S260" s="91"/>
      <c r="T260" s="91"/>
      <c r="U260" s="91"/>
      <c r="V260" s="91"/>
      <c r="W260" s="91"/>
      <c r="X260" s="91"/>
      <c r="Y260" s="91"/>
      <c r="Z260" s="91"/>
      <c r="AA260" s="91"/>
    </row>
    <row r="261" spans="1:27" x14ac:dyDescent="0.2">
      <c r="A261" s="91"/>
      <c r="B261" s="91"/>
      <c r="C261" s="91"/>
      <c r="D261" s="91"/>
      <c r="E261" s="91"/>
      <c r="F261" s="91"/>
      <c r="G261" s="91"/>
      <c r="H261" s="91"/>
      <c r="I261" s="91"/>
      <c r="J261" s="91"/>
      <c r="K261" s="91"/>
      <c r="L261" s="91"/>
      <c r="M261" s="91"/>
      <c r="N261" s="91"/>
      <c r="O261" s="91"/>
      <c r="P261" s="91"/>
      <c r="Q261" s="91"/>
      <c r="R261" s="91"/>
      <c r="S261" s="91"/>
      <c r="T261" s="91"/>
      <c r="U261" s="91"/>
      <c r="V261" s="91"/>
      <c r="W261" s="91"/>
      <c r="X261" s="91"/>
      <c r="Y261" s="91"/>
      <c r="Z261" s="91"/>
      <c r="AA261" s="91"/>
    </row>
    <row r="262" spans="1:27" x14ac:dyDescent="0.2">
      <c r="A262" s="91"/>
      <c r="B262" s="91"/>
      <c r="C262" s="91"/>
      <c r="D262" s="91"/>
      <c r="E262" s="91"/>
      <c r="F262" s="91"/>
      <c r="G262" s="91"/>
      <c r="H262" s="91"/>
      <c r="I262" s="91"/>
      <c r="J262" s="91"/>
      <c r="K262" s="91"/>
      <c r="L262" s="91"/>
      <c r="M262" s="91"/>
      <c r="N262" s="91"/>
      <c r="O262" s="91"/>
      <c r="P262" s="91"/>
      <c r="Q262" s="91"/>
      <c r="R262" s="91"/>
      <c r="S262" s="91"/>
      <c r="T262" s="91"/>
      <c r="U262" s="91"/>
      <c r="V262" s="91"/>
      <c r="W262" s="91"/>
      <c r="X262" s="91"/>
      <c r="Y262" s="91"/>
      <c r="Z262" s="91"/>
      <c r="AA262" s="91"/>
    </row>
    <row r="263" spans="1:27" x14ac:dyDescent="0.2">
      <c r="A263" s="91"/>
      <c r="B263" s="91"/>
      <c r="C263" s="91"/>
      <c r="D263" s="91"/>
      <c r="E263" s="91"/>
      <c r="F263" s="91"/>
      <c r="G263" s="91"/>
      <c r="H263" s="91"/>
      <c r="I263" s="91"/>
      <c r="J263" s="91"/>
      <c r="K263" s="91"/>
      <c r="L263" s="91"/>
      <c r="M263" s="91"/>
      <c r="N263" s="91"/>
      <c r="O263" s="91"/>
      <c r="P263" s="91"/>
      <c r="Q263" s="91"/>
      <c r="R263" s="91"/>
      <c r="S263" s="91"/>
      <c r="T263" s="91"/>
      <c r="U263" s="91"/>
      <c r="V263" s="91"/>
      <c r="W263" s="91"/>
      <c r="X263" s="91"/>
      <c r="Y263" s="91"/>
      <c r="Z263" s="91"/>
      <c r="AA263" s="91"/>
    </row>
    <row r="264" spans="1:27" x14ac:dyDescent="0.2">
      <c r="A264" s="91"/>
      <c r="B264" s="91"/>
      <c r="C264" s="91"/>
      <c r="D264" s="91"/>
      <c r="E264" s="91"/>
      <c r="F264" s="91"/>
      <c r="G264" s="91"/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91"/>
      <c r="S264" s="91"/>
      <c r="T264" s="91"/>
      <c r="U264" s="91"/>
      <c r="V264" s="91"/>
      <c r="W264" s="91"/>
      <c r="X264" s="91"/>
      <c r="Y264" s="91"/>
      <c r="Z264" s="91"/>
      <c r="AA264" s="91"/>
    </row>
    <row r="265" spans="1:27" x14ac:dyDescent="0.2">
      <c r="A265" s="91"/>
      <c r="B265" s="91"/>
      <c r="C265" s="91"/>
      <c r="D265" s="91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91"/>
      <c r="P265" s="91"/>
      <c r="Q265" s="91"/>
      <c r="R265" s="91"/>
      <c r="S265" s="91"/>
      <c r="T265" s="91"/>
      <c r="U265" s="91"/>
      <c r="V265" s="91"/>
      <c r="W265" s="91"/>
      <c r="X265" s="91"/>
      <c r="Y265" s="91"/>
      <c r="Z265" s="91"/>
      <c r="AA265" s="91"/>
    </row>
    <row r="266" spans="1:27" x14ac:dyDescent="0.2">
      <c r="A266" s="91"/>
      <c r="B266" s="91"/>
      <c r="C266" s="91"/>
      <c r="D266" s="91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91"/>
      <c r="S266" s="91"/>
      <c r="T266" s="91"/>
      <c r="U266" s="91"/>
      <c r="V266" s="91"/>
      <c r="W266" s="91"/>
      <c r="X266" s="91"/>
      <c r="Y266" s="91"/>
      <c r="Z266" s="91"/>
      <c r="AA266" s="91"/>
    </row>
    <row r="267" spans="1:27" x14ac:dyDescent="0.2">
      <c r="A267" s="91"/>
      <c r="B267" s="91"/>
      <c r="C267" s="91"/>
      <c r="D267" s="91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91"/>
      <c r="P267" s="91"/>
      <c r="Q267" s="91"/>
      <c r="R267" s="91"/>
      <c r="S267" s="91"/>
      <c r="T267" s="91"/>
      <c r="U267" s="91"/>
      <c r="V267" s="91"/>
      <c r="W267" s="91"/>
      <c r="X267" s="91"/>
      <c r="Y267" s="91"/>
      <c r="Z267" s="91"/>
      <c r="AA267" s="91"/>
    </row>
    <row r="268" spans="1:27" x14ac:dyDescent="0.2">
      <c r="A268" s="91"/>
      <c r="B268" s="91"/>
      <c r="C268" s="91"/>
      <c r="D268" s="91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91"/>
      <c r="S268" s="91"/>
      <c r="T268" s="91"/>
      <c r="U268" s="91"/>
      <c r="V268" s="91"/>
      <c r="W268" s="91"/>
      <c r="X268" s="91"/>
      <c r="Y268" s="91"/>
      <c r="Z268" s="91"/>
      <c r="AA268" s="91"/>
    </row>
    <row r="269" spans="1:27" x14ac:dyDescent="0.2">
      <c r="A269" s="91"/>
      <c r="B269" s="91"/>
      <c r="C269" s="91"/>
      <c r="D269" s="91"/>
      <c r="E269" s="91"/>
      <c r="F269" s="91"/>
      <c r="G269" s="91"/>
      <c r="H269" s="91"/>
      <c r="I269" s="91"/>
      <c r="J269" s="91"/>
      <c r="K269" s="91"/>
      <c r="L269" s="91"/>
      <c r="M269" s="91"/>
      <c r="N269" s="91"/>
      <c r="O269" s="91"/>
      <c r="P269" s="91"/>
      <c r="Q269" s="91"/>
      <c r="R269" s="91"/>
      <c r="S269" s="91"/>
      <c r="T269" s="91"/>
      <c r="U269" s="91"/>
      <c r="V269" s="91"/>
      <c r="W269" s="91"/>
      <c r="X269" s="91"/>
      <c r="Y269" s="91"/>
      <c r="Z269" s="91"/>
      <c r="AA269" s="91"/>
    </row>
    <row r="270" spans="1:27" x14ac:dyDescent="0.2">
      <c r="A270" s="91"/>
      <c r="B270" s="91"/>
      <c r="C270" s="91"/>
      <c r="D270" s="91"/>
      <c r="E270" s="91"/>
      <c r="F270" s="91"/>
      <c r="G270" s="91"/>
      <c r="H270" s="91"/>
      <c r="I270" s="91"/>
      <c r="J270" s="91"/>
      <c r="K270" s="91"/>
      <c r="L270" s="91"/>
      <c r="M270" s="91"/>
      <c r="N270" s="91"/>
      <c r="O270" s="91"/>
      <c r="P270" s="91"/>
      <c r="Q270" s="91"/>
      <c r="R270" s="91"/>
      <c r="S270" s="91"/>
      <c r="T270" s="91"/>
      <c r="U270" s="91"/>
      <c r="V270" s="91"/>
      <c r="W270" s="91"/>
      <c r="X270" s="91"/>
      <c r="Y270" s="91"/>
      <c r="Z270" s="91"/>
      <c r="AA270" s="91"/>
    </row>
    <row r="271" spans="1:27" x14ac:dyDescent="0.2">
      <c r="A271" s="91"/>
      <c r="B271" s="91"/>
      <c r="C271" s="91"/>
      <c r="D271" s="91"/>
      <c r="E271" s="91"/>
      <c r="F271" s="91"/>
      <c r="G271" s="91"/>
      <c r="H271" s="91"/>
      <c r="I271" s="91"/>
      <c r="J271" s="91"/>
      <c r="K271" s="91"/>
      <c r="L271" s="91"/>
      <c r="M271" s="91"/>
      <c r="N271" s="91"/>
      <c r="O271" s="91"/>
      <c r="P271" s="91"/>
      <c r="Q271" s="91"/>
      <c r="R271" s="91"/>
      <c r="S271" s="91"/>
      <c r="T271" s="91"/>
      <c r="U271" s="91"/>
      <c r="V271" s="91"/>
      <c r="W271" s="91"/>
      <c r="X271" s="91"/>
      <c r="Y271" s="91"/>
      <c r="Z271" s="91"/>
      <c r="AA271" s="91"/>
    </row>
    <row r="272" spans="1:27" x14ac:dyDescent="0.2">
      <c r="A272" s="91"/>
      <c r="B272" s="91"/>
      <c r="C272" s="91"/>
      <c r="D272" s="91"/>
      <c r="E272" s="91"/>
      <c r="F272" s="91"/>
      <c r="G272" s="91"/>
      <c r="H272" s="91"/>
      <c r="I272" s="91"/>
      <c r="J272" s="91"/>
      <c r="K272" s="91"/>
      <c r="L272" s="91"/>
      <c r="M272" s="91"/>
      <c r="N272" s="91"/>
      <c r="O272" s="91"/>
      <c r="P272" s="91"/>
      <c r="Q272" s="91"/>
      <c r="R272" s="91"/>
      <c r="S272" s="91"/>
      <c r="T272" s="91"/>
      <c r="U272" s="91"/>
      <c r="V272" s="91"/>
      <c r="W272" s="91"/>
      <c r="X272" s="91"/>
      <c r="Y272" s="91"/>
      <c r="Z272" s="91"/>
      <c r="AA272" s="91"/>
    </row>
    <row r="273" spans="1:27" x14ac:dyDescent="0.2">
      <c r="A273" s="91"/>
      <c r="B273" s="91"/>
      <c r="C273" s="91"/>
      <c r="D273" s="91"/>
      <c r="E273" s="91"/>
      <c r="F273" s="91"/>
      <c r="G273" s="91"/>
      <c r="H273" s="91"/>
      <c r="I273" s="91"/>
      <c r="J273" s="91"/>
      <c r="K273" s="91"/>
      <c r="L273" s="91"/>
      <c r="M273" s="91"/>
      <c r="N273" s="91"/>
      <c r="O273" s="91"/>
      <c r="P273" s="91"/>
      <c r="Q273" s="91"/>
      <c r="R273" s="91"/>
      <c r="S273" s="91"/>
      <c r="T273" s="91"/>
      <c r="U273" s="91"/>
      <c r="V273" s="91"/>
      <c r="W273" s="91"/>
      <c r="X273" s="91"/>
      <c r="Y273" s="91"/>
      <c r="Z273" s="91"/>
      <c r="AA273" s="91"/>
    </row>
    <row r="274" spans="1:27" x14ac:dyDescent="0.2">
      <c r="A274" s="91"/>
      <c r="B274" s="91"/>
      <c r="C274" s="91"/>
      <c r="D274" s="91"/>
      <c r="E274" s="91"/>
      <c r="F274" s="91"/>
      <c r="G274" s="91"/>
      <c r="H274" s="91"/>
      <c r="I274" s="91"/>
      <c r="J274" s="91"/>
      <c r="K274" s="91"/>
      <c r="L274" s="91"/>
      <c r="M274" s="91"/>
      <c r="N274" s="91"/>
      <c r="O274" s="91"/>
      <c r="P274" s="91"/>
      <c r="Q274" s="91"/>
      <c r="R274" s="91"/>
      <c r="S274" s="91"/>
      <c r="T274" s="91"/>
      <c r="U274" s="91"/>
      <c r="V274" s="91"/>
      <c r="W274" s="91"/>
      <c r="X274" s="91"/>
      <c r="Y274" s="91"/>
      <c r="Z274" s="91"/>
      <c r="AA274" s="91"/>
    </row>
    <row r="275" spans="1:27" x14ac:dyDescent="0.2">
      <c r="A275" s="91"/>
      <c r="B275" s="91"/>
      <c r="C275" s="91"/>
      <c r="D275" s="91"/>
      <c r="E275" s="91"/>
      <c r="F275" s="91"/>
      <c r="G275" s="91"/>
      <c r="H275" s="91"/>
      <c r="I275" s="91"/>
      <c r="J275" s="91"/>
      <c r="K275" s="91"/>
      <c r="L275" s="91"/>
      <c r="M275" s="91"/>
      <c r="N275" s="91"/>
      <c r="O275" s="91"/>
      <c r="P275" s="91"/>
      <c r="Q275" s="91"/>
      <c r="R275" s="91"/>
      <c r="S275" s="91"/>
      <c r="T275" s="91"/>
      <c r="U275" s="91"/>
      <c r="V275" s="91"/>
      <c r="W275" s="91"/>
      <c r="X275" s="91"/>
      <c r="Y275" s="91"/>
      <c r="Z275" s="91"/>
      <c r="AA275" s="91"/>
    </row>
    <row r="276" spans="1:27" x14ac:dyDescent="0.2">
      <c r="A276" s="91"/>
      <c r="B276" s="91"/>
      <c r="C276" s="91"/>
      <c r="D276" s="91"/>
      <c r="E276" s="91"/>
      <c r="F276" s="91"/>
      <c r="G276" s="91"/>
      <c r="H276" s="91"/>
      <c r="I276" s="91"/>
      <c r="J276" s="91"/>
      <c r="K276" s="91"/>
      <c r="L276" s="91"/>
      <c r="M276" s="91"/>
      <c r="N276" s="91"/>
      <c r="O276" s="91"/>
      <c r="P276" s="91"/>
      <c r="Q276" s="91"/>
      <c r="R276" s="91"/>
      <c r="S276" s="91"/>
      <c r="T276" s="91"/>
      <c r="U276" s="91"/>
      <c r="V276" s="91"/>
      <c r="W276" s="91"/>
      <c r="X276" s="91"/>
      <c r="Y276" s="91"/>
      <c r="Z276" s="91"/>
      <c r="AA276" s="91"/>
    </row>
    <row r="277" spans="1:27" x14ac:dyDescent="0.2">
      <c r="A277" s="91"/>
      <c r="B277" s="91"/>
      <c r="C277" s="91"/>
      <c r="D277" s="91"/>
      <c r="E277" s="91"/>
      <c r="F277" s="91"/>
      <c r="G277" s="91"/>
      <c r="H277" s="91"/>
      <c r="I277" s="91"/>
      <c r="J277" s="91"/>
      <c r="K277" s="91"/>
      <c r="L277" s="91"/>
      <c r="M277" s="91"/>
      <c r="N277" s="91"/>
      <c r="O277" s="91"/>
      <c r="P277" s="91"/>
      <c r="Q277" s="91"/>
      <c r="R277" s="91"/>
      <c r="S277" s="91"/>
      <c r="T277" s="91"/>
      <c r="U277" s="91"/>
      <c r="V277" s="91"/>
      <c r="W277" s="91"/>
      <c r="X277" s="91"/>
      <c r="Y277" s="91"/>
      <c r="Z277" s="91"/>
      <c r="AA277" s="91"/>
    </row>
    <row r="278" spans="1:27" x14ac:dyDescent="0.2">
      <c r="A278" s="91"/>
      <c r="B278" s="91"/>
      <c r="C278" s="91"/>
      <c r="D278" s="91"/>
      <c r="E278" s="91"/>
      <c r="F278" s="91"/>
      <c r="G278" s="91"/>
      <c r="H278" s="91"/>
      <c r="I278" s="91"/>
      <c r="J278" s="91"/>
      <c r="K278" s="91"/>
      <c r="L278" s="91"/>
      <c r="M278" s="91"/>
      <c r="N278" s="91"/>
      <c r="O278" s="91"/>
      <c r="P278" s="91"/>
      <c r="Q278" s="91"/>
      <c r="R278" s="91"/>
      <c r="S278" s="91"/>
      <c r="T278" s="91"/>
      <c r="U278" s="91"/>
      <c r="V278" s="91"/>
      <c r="W278" s="91"/>
      <c r="X278" s="91"/>
      <c r="Y278" s="91"/>
      <c r="Z278" s="91"/>
      <c r="AA278" s="91"/>
    </row>
    <row r="279" spans="1:27" x14ac:dyDescent="0.2">
      <c r="A279" s="91"/>
      <c r="B279" s="91"/>
      <c r="C279" s="91"/>
      <c r="D279" s="91"/>
      <c r="E279" s="91"/>
      <c r="F279" s="91"/>
      <c r="G279" s="91"/>
      <c r="H279" s="91"/>
      <c r="I279" s="91"/>
      <c r="J279" s="91"/>
      <c r="K279" s="91"/>
      <c r="L279" s="91"/>
      <c r="M279" s="91"/>
      <c r="N279" s="91"/>
      <c r="O279" s="91"/>
      <c r="P279" s="91"/>
      <c r="Q279" s="91"/>
      <c r="R279" s="91"/>
      <c r="S279" s="91"/>
      <c r="T279" s="91"/>
      <c r="U279" s="91"/>
      <c r="V279" s="91"/>
      <c r="W279" s="91"/>
      <c r="X279" s="91"/>
      <c r="Y279" s="91"/>
      <c r="Z279" s="91"/>
      <c r="AA279" s="91"/>
    </row>
    <row r="280" spans="1:27" x14ac:dyDescent="0.2">
      <c r="A280" s="91"/>
      <c r="B280" s="91"/>
      <c r="C280" s="91"/>
      <c r="D280" s="91"/>
      <c r="E280" s="91"/>
      <c r="F280" s="91"/>
      <c r="G280" s="91"/>
      <c r="H280" s="91"/>
      <c r="I280" s="91"/>
      <c r="J280" s="91"/>
      <c r="K280" s="91"/>
      <c r="L280" s="91"/>
      <c r="M280" s="91"/>
      <c r="N280" s="91"/>
      <c r="O280" s="91"/>
      <c r="P280" s="91"/>
      <c r="Q280" s="91"/>
      <c r="R280" s="91"/>
      <c r="S280" s="91"/>
      <c r="T280" s="91"/>
      <c r="U280" s="91"/>
      <c r="V280" s="91"/>
      <c r="W280" s="91"/>
      <c r="X280" s="91"/>
      <c r="Y280" s="91"/>
      <c r="Z280" s="91"/>
      <c r="AA280" s="91"/>
    </row>
    <row r="281" spans="1:27" x14ac:dyDescent="0.2">
      <c r="A281" s="91"/>
      <c r="B281" s="91"/>
      <c r="C281" s="91"/>
      <c r="D281" s="91"/>
      <c r="E281" s="91"/>
      <c r="F281" s="91"/>
      <c r="G281" s="91"/>
      <c r="H281" s="91"/>
      <c r="I281" s="91"/>
      <c r="J281" s="91"/>
      <c r="K281" s="91"/>
      <c r="L281" s="91"/>
      <c r="M281" s="91"/>
      <c r="N281" s="91"/>
      <c r="O281" s="91"/>
      <c r="P281" s="91"/>
      <c r="Q281" s="91"/>
      <c r="R281" s="91"/>
      <c r="S281" s="91"/>
      <c r="T281" s="91"/>
      <c r="U281" s="91"/>
      <c r="V281" s="91"/>
      <c r="W281" s="91"/>
      <c r="X281" s="91"/>
      <c r="Y281" s="91"/>
      <c r="Z281" s="91"/>
      <c r="AA281" s="91"/>
    </row>
    <row r="282" spans="1:27" x14ac:dyDescent="0.2">
      <c r="A282" s="91"/>
      <c r="B282" s="91"/>
      <c r="C282" s="91"/>
      <c r="D282" s="91"/>
      <c r="E282" s="91"/>
      <c r="F282" s="91"/>
      <c r="G282" s="91"/>
      <c r="H282" s="91"/>
      <c r="I282" s="91"/>
      <c r="J282" s="91"/>
      <c r="K282" s="91"/>
      <c r="L282" s="91"/>
      <c r="M282" s="91"/>
      <c r="N282" s="91"/>
      <c r="O282" s="91"/>
      <c r="P282" s="91"/>
      <c r="Q282" s="91"/>
      <c r="R282" s="91"/>
      <c r="S282" s="91"/>
      <c r="T282" s="91"/>
      <c r="U282" s="91"/>
      <c r="V282" s="91"/>
      <c r="W282" s="91"/>
      <c r="X282" s="91"/>
      <c r="Y282" s="91"/>
      <c r="Z282" s="91"/>
      <c r="AA282" s="91"/>
    </row>
    <row r="283" spans="1:27" x14ac:dyDescent="0.2">
      <c r="A283" s="91"/>
      <c r="B283" s="91"/>
      <c r="C283" s="91"/>
      <c r="D283" s="91"/>
      <c r="E283" s="91"/>
      <c r="F283" s="91"/>
      <c r="G283" s="91"/>
      <c r="H283" s="91"/>
      <c r="I283" s="91"/>
      <c r="J283" s="91"/>
      <c r="K283" s="91"/>
      <c r="L283" s="91"/>
      <c r="M283" s="91"/>
      <c r="N283" s="91"/>
      <c r="O283" s="91"/>
      <c r="P283" s="91"/>
      <c r="Q283" s="91"/>
      <c r="R283" s="91"/>
      <c r="S283" s="91"/>
      <c r="T283" s="91"/>
      <c r="U283" s="91"/>
      <c r="V283" s="91"/>
      <c r="W283" s="91"/>
      <c r="X283" s="91"/>
      <c r="Y283" s="91"/>
      <c r="Z283" s="91"/>
      <c r="AA283" s="91"/>
    </row>
    <row r="284" spans="1:27" x14ac:dyDescent="0.2">
      <c r="A284" s="91"/>
      <c r="B284" s="91"/>
      <c r="C284" s="91"/>
      <c r="D284" s="91"/>
      <c r="E284" s="91"/>
      <c r="F284" s="91"/>
      <c r="G284" s="91"/>
      <c r="H284" s="91"/>
      <c r="I284" s="91"/>
      <c r="J284" s="91"/>
      <c r="K284" s="91"/>
      <c r="L284" s="91"/>
      <c r="M284" s="91"/>
      <c r="N284" s="91"/>
      <c r="O284" s="91"/>
      <c r="P284" s="91"/>
      <c r="Q284" s="91"/>
      <c r="R284" s="91"/>
      <c r="S284" s="91"/>
      <c r="T284" s="91"/>
      <c r="U284" s="91"/>
      <c r="V284" s="91"/>
      <c r="W284" s="91"/>
      <c r="X284" s="91"/>
      <c r="Y284" s="91"/>
      <c r="Z284" s="91"/>
      <c r="AA284" s="91"/>
    </row>
    <row r="285" spans="1:27" x14ac:dyDescent="0.2">
      <c r="A285" s="91"/>
      <c r="B285" s="91"/>
      <c r="C285" s="91"/>
      <c r="D285" s="91"/>
      <c r="E285" s="91"/>
      <c r="F285" s="91"/>
      <c r="G285" s="91"/>
      <c r="H285" s="91"/>
      <c r="I285" s="91"/>
      <c r="J285" s="91"/>
      <c r="K285" s="91"/>
      <c r="L285" s="91"/>
      <c r="M285" s="91"/>
      <c r="N285" s="91"/>
      <c r="O285" s="91"/>
      <c r="P285" s="91"/>
      <c r="Q285" s="91"/>
      <c r="R285" s="91"/>
      <c r="S285" s="91"/>
      <c r="T285" s="91"/>
      <c r="U285" s="91"/>
      <c r="V285" s="91"/>
      <c r="W285" s="91"/>
      <c r="X285" s="91"/>
      <c r="Y285" s="91"/>
      <c r="Z285" s="91"/>
      <c r="AA285" s="91"/>
    </row>
    <row r="286" spans="1:27" x14ac:dyDescent="0.2">
      <c r="A286" s="91"/>
      <c r="B286" s="91"/>
      <c r="C286" s="91"/>
      <c r="D286" s="91"/>
      <c r="E286" s="91"/>
      <c r="F286" s="91"/>
      <c r="G286" s="91"/>
      <c r="H286" s="91"/>
      <c r="I286" s="91"/>
      <c r="J286" s="91"/>
      <c r="K286" s="91"/>
      <c r="L286" s="91"/>
      <c r="M286" s="91"/>
      <c r="N286" s="91"/>
      <c r="O286" s="91"/>
      <c r="P286" s="91"/>
      <c r="Q286" s="91"/>
      <c r="R286" s="91"/>
      <c r="S286" s="91"/>
      <c r="T286" s="91"/>
      <c r="U286" s="91"/>
      <c r="V286" s="91"/>
      <c r="W286" s="91"/>
      <c r="X286" s="91"/>
      <c r="Y286" s="91"/>
      <c r="Z286" s="91"/>
      <c r="AA286" s="91"/>
    </row>
    <row r="287" spans="1:27" x14ac:dyDescent="0.2">
      <c r="A287" s="91"/>
      <c r="B287" s="91"/>
      <c r="C287" s="91"/>
      <c r="D287" s="91"/>
      <c r="E287" s="91"/>
      <c r="F287" s="91"/>
      <c r="G287" s="91"/>
      <c r="H287" s="91"/>
      <c r="I287" s="91"/>
      <c r="J287" s="91"/>
      <c r="K287" s="91"/>
      <c r="L287" s="91"/>
      <c r="M287" s="91"/>
      <c r="N287" s="91"/>
      <c r="O287" s="91"/>
      <c r="P287" s="91"/>
      <c r="Q287" s="91"/>
      <c r="R287" s="91"/>
      <c r="S287" s="91"/>
      <c r="T287" s="91"/>
      <c r="U287" s="91"/>
      <c r="V287" s="91"/>
      <c r="W287" s="91"/>
      <c r="X287" s="91"/>
      <c r="Y287" s="91"/>
      <c r="Z287" s="91"/>
      <c r="AA287" s="91"/>
    </row>
    <row r="288" spans="1:27" x14ac:dyDescent="0.2">
      <c r="A288" s="91"/>
      <c r="B288" s="91"/>
      <c r="C288" s="91"/>
      <c r="D288" s="91"/>
      <c r="E288" s="91"/>
      <c r="F288" s="91"/>
      <c r="G288" s="91"/>
      <c r="H288" s="91"/>
      <c r="I288" s="91"/>
      <c r="J288" s="91"/>
      <c r="K288" s="91"/>
      <c r="L288" s="91"/>
      <c r="M288" s="91"/>
      <c r="N288" s="91"/>
      <c r="O288" s="91"/>
      <c r="P288" s="91"/>
      <c r="Q288" s="91"/>
      <c r="R288" s="91"/>
      <c r="S288" s="91"/>
      <c r="T288" s="91"/>
      <c r="U288" s="91"/>
      <c r="V288" s="91"/>
      <c r="W288" s="91"/>
      <c r="X288" s="91"/>
      <c r="Y288" s="91"/>
      <c r="Z288" s="91"/>
      <c r="AA288" s="91"/>
    </row>
    <row r="289" spans="1:27" x14ac:dyDescent="0.2">
      <c r="A289" s="91"/>
      <c r="B289" s="91"/>
      <c r="C289" s="91"/>
      <c r="D289" s="91"/>
      <c r="E289" s="91"/>
      <c r="F289" s="91"/>
      <c r="G289" s="91"/>
      <c r="H289" s="91"/>
      <c r="I289" s="91"/>
      <c r="J289" s="91"/>
      <c r="K289" s="91"/>
      <c r="L289" s="91"/>
      <c r="M289" s="91"/>
      <c r="N289" s="91"/>
      <c r="O289" s="91"/>
      <c r="P289" s="91"/>
      <c r="Q289" s="91"/>
      <c r="R289" s="91"/>
      <c r="S289" s="91"/>
      <c r="T289" s="91"/>
      <c r="U289" s="91"/>
      <c r="V289" s="91"/>
      <c r="W289" s="91"/>
      <c r="X289" s="91"/>
      <c r="Y289" s="91"/>
      <c r="Z289" s="91"/>
      <c r="AA289" s="91"/>
    </row>
    <row r="290" spans="1:27" x14ac:dyDescent="0.2">
      <c r="A290" s="91"/>
      <c r="B290" s="91"/>
      <c r="C290" s="91"/>
      <c r="D290" s="91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91"/>
      <c r="S290" s="91"/>
      <c r="T290" s="91"/>
      <c r="U290" s="91"/>
      <c r="V290" s="91"/>
      <c r="W290" s="91"/>
      <c r="X290" s="91"/>
      <c r="Y290" s="91"/>
      <c r="Z290" s="91"/>
      <c r="AA290" s="91"/>
    </row>
    <row r="291" spans="1:27" x14ac:dyDescent="0.2">
      <c r="A291" s="91"/>
      <c r="B291" s="91"/>
      <c r="C291" s="91"/>
      <c r="D291" s="91"/>
      <c r="E291" s="91"/>
      <c r="F291" s="91"/>
      <c r="G291" s="91"/>
      <c r="H291" s="91"/>
      <c r="I291" s="91"/>
      <c r="J291" s="91"/>
      <c r="K291" s="91"/>
      <c r="L291" s="91"/>
      <c r="M291" s="91"/>
      <c r="N291" s="91"/>
      <c r="O291" s="91"/>
      <c r="P291" s="91"/>
      <c r="Q291" s="91"/>
      <c r="R291" s="91"/>
      <c r="S291" s="91"/>
      <c r="T291" s="91"/>
      <c r="U291" s="91"/>
      <c r="V291" s="91"/>
      <c r="W291" s="91"/>
      <c r="X291" s="91"/>
      <c r="Y291" s="91"/>
      <c r="Z291" s="91"/>
      <c r="AA291" s="91"/>
    </row>
    <row r="292" spans="1:27" x14ac:dyDescent="0.2">
      <c r="A292" s="91"/>
      <c r="B292" s="91"/>
      <c r="C292" s="91"/>
      <c r="D292" s="91"/>
      <c r="E292" s="91"/>
      <c r="F292" s="91"/>
      <c r="G292" s="91"/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91"/>
      <c r="S292" s="91"/>
      <c r="T292" s="91"/>
      <c r="U292" s="91"/>
      <c r="V292" s="91"/>
      <c r="W292" s="91"/>
      <c r="X292" s="91"/>
      <c r="Y292" s="91"/>
      <c r="Z292" s="91"/>
      <c r="AA292" s="91"/>
    </row>
    <row r="293" spans="1:27" x14ac:dyDescent="0.2">
      <c r="A293" s="91"/>
      <c r="B293" s="91"/>
      <c r="C293" s="91"/>
      <c r="D293" s="91"/>
      <c r="E293" s="91"/>
      <c r="F293" s="91"/>
      <c r="G293" s="91"/>
      <c r="H293" s="91"/>
      <c r="I293" s="91"/>
      <c r="J293" s="91"/>
      <c r="K293" s="91"/>
      <c r="L293" s="91"/>
      <c r="M293" s="91"/>
      <c r="N293" s="91"/>
      <c r="O293" s="91"/>
      <c r="P293" s="91"/>
      <c r="Q293" s="91"/>
      <c r="R293" s="91"/>
      <c r="S293" s="91"/>
      <c r="T293" s="91"/>
      <c r="U293" s="91"/>
      <c r="V293" s="91"/>
      <c r="W293" s="91"/>
      <c r="X293" s="91"/>
      <c r="Y293" s="91"/>
      <c r="Z293" s="91"/>
      <c r="AA293" s="91"/>
    </row>
    <row r="294" spans="1:27" x14ac:dyDescent="0.2">
      <c r="A294" s="91"/>
      <c r="B294" s="91"/>
      <c r="C294" s="91"/>
      <c r="D294" s="91"/>
      <c r="E294" s="91"/>
      <c r="F294" s="91"/>
      <c r="G294" s="91"/>
      <c r="H294" s="91"/>
      <c r="I294" s="91"/>
      <c r="J294" s="91"/>
      <c r="K294" s="91"/>
      <c r="L294" s="91"/>
      <c r="M294" s="91"/>
      <c r="N294" s="91"/>
      <c r="O294" s="91"/>
      <c r="P294" s="91"/>
      <c r="Q294" s="91"/>
      <c r="R294" s="91"/>
      <c r="S294" s="91"/>
      <c r="T294" s="91"/>
      <c r="U294" s="91"/>
      <c r="V294" s="91"/>
      <c r="W294" s="91"/>
      <c r="X294" s="91"/>
      <c r="Y294" s="91"/>
      <c r="Z294" s="91"/>
      <c r="AA294" s="91"/>
    </row>
    <row r="295" spans="1:27" x14ac:dyDescent="0.2">
      <c r="A295" s="91"/>
      <c r="B295" s="91"/>
      <c r="C295" s="91"/>
      <c r="D295" s="91"/>
      <c r="E295" s="91"/>
      <c r="F295" s="91"/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91"/>
      <c r="S295" s="91"/>
      <c r="T295" s="91"/>
      <c r="U295" s="91"/>
      <c r="V295" s="91"/>
      <c r="W295" s="91"/>
      <c r="X295" s="91"/>
      <c r="Y295" s="91"/>
      <c r="Z295" s="91"/>
      <c r="AA295" s="91"/>
    </row>
    <row r="296" spans="1:27" x14ac:dyDescent="0.2">
      <c r="A296" s="91"/>
      <c r="B296" s="91"/>
      <c r="C296" s="91"/>
      <c r="D296" s="91"/>
      <c r="E296" s="91"/>
      <c r="F296" s="91"/>
      <c r="G296" s="91"/>
      <c r="H296" s="91"/>
      <c r="I296" s="91"/>
      <c r="J296" s="91"/>
      <c r="K296" s="91"/>
      <c r="L296" s="91"/>
      <c r="M296" s="91"/>
      <c r="N296" s="91"/>
      <c r="O296" s="91"/>
      <c r="P296" s="91"/>
      <c r="Q296" s="91"/>
      <c r="R296" s="91"/>
      <c r="S296" s="91"/>
      <c r="T296" s="91"/>
      <c r="U296" s="91"/>
      <c r="V296" s="91"/>
      <c r="W296" s="91"/>
      <c r="X296" s="91"/>
      <c r="Y296" s="91"/>
      <c r="Z296" s="91"/>
      <c r="AA296" s="91"/>
    </row>
    <row r="297" spans="1:27" x14ac:dyDescent="0.2">
      <c r="A297" s="91"/>
      <c r="B297" s="91"/>
      <c r="C297" s="91"/>
      <c r="D297" s="91"/>
      <c r="E297" s="91"/>
      <c r="F297" s="91"/>
      <c r="G297" s="91"/>
      <c r="H297" s="91"/>
      <c r="I297" s="91"/>
      <c r="J297" s="91"/>
      <c r="K297" s="91"/>
      <c r="L297" s="91"/>
      <c r="M297" s="91"/>
      <c r="N297" s="91"/>
      <c r="O297" s="91"/>
      <c r="P297" s="91"/>
      <c r="Q297" s="91"/>
      <c r="R297" s="91"/>
      <c r="S297" s="91"/>
      <c r="T297" s="91"/>
      <c r="U297" s="91"/>
      <c r="V297" s="91"/>
      <c r="W297" s="91"/>
      <c r="X297" s="91"/>
      <c r="Y297" s="91"/>
      <c r="Z297" s="91"/>
      <c r="AA297" s="91"/>
    </row>
    <row r="298" spans="1:27" x14ac:dyDescent="0.2">
      <c r="A298" s="91"/>
      <c r="B298" s="91"/>
      <c r="C298" s="91"/>
      <c r="D298" s="91"/>
      <c r="E298" s="91"/>
      <c r="F298" s="91"/>
      <c r="G298" s="91"/>
      <c r="H298" s="91"/>
      <c r="I298" s="91"/>
      <c r="J298" s="91"/>
      <c r="K298" s="91"/>
      <c r="L298" s="91"/>
      <c r="M298" s="91"/>
      <c r="N298" s="91"/>
      <c r="O298" s="91"/>
      <c r="P298" s="91"/>
      <c r="Q298" s="91"/>
      <c r="R298" s="91"/>
      <c r="S298" s="91"/>
      <c r="T298" s="91"/>
      <c r="U298" s="91"/>
      <c r="V298" s="91"/>
      <c r="W298" s="91"/>
      <c r="X298" s="91"/>
      <c r="Y298" s="91"/>
      <c r="Z298" s="91"/>
      <c r="AA298" s="91"/>
    </row>
    <row r="299" spans="1:27" x14ac:dyDescent="0.2">
      <c r="A299" s="91"/>
      <c r="B299" s="91"/>
      <c r="C299" s="91"/>
      <c r="D299" s="91"/>
      <c r="E299" s="91"/>
      <c r="F299" s="91"/>
      <c r="G299" s="91"/>
      <c r="H299" s="91"/>
      <c r="I299" s="91"/>
      <c r="J299" s="91"/>
      <c r="K299" s="91"/>
      <c r="L299" s="91"/>
      <c r="M299" s="91"/>
      <c r="N299" s="91"/>
      <c r="O299" s="91"/>
      <c r="P299" s="91"/>
      <c r="Q299" s="91"/>
      <c r="R299" s="91"/>
      <c r="S299" s="91"/>
      <c r="T299" s="91"/>
      <c r="U299" s="91"/>
      <c r="V299" s="91"/>
      <c r="W299" s="91"/>
      <c r="X299" s="91"/>
      <c r="Y299" s="91"/>
      <c r="Z299" s="91"/>
      <c r="AA299" s="91"/>
    </row>
  </sheetData>
  <sheetProtection algorithmName="SHA-512" hashValue="KetEoH6xy6ljGOqbUd7/MLLuP4yc9QT8c7JfA6y7Vf2iK/yx8zu7B0m7Aux7v7eKztpmFxdLu0Cndqj4XLWRCQ==" saltValue="l9zAC7pnMmr9D6lDN2+Bsw==" spinCount="100000" sheet="1" objects="1" scenarios="1" sort="0" autoFilter="0"/>
  <mergeCells count="1">
    <mergeCell ref="A1:AA1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Notes xmlns="3da0b0aa-763e-4ae3-8235-222a586ef9fb" xsi:nil="true"/>
    <NotesDescription xmlns="3da0b0aa-763e-4ae3-8235-222a586ef9fb" xsi:nil="true"/>
    <lcf76f155ced4ddcb4097134ff3c332f xmlns="3da0b0aa-763e-4ae3-8235-222a586ef9fb">
      <Terms xmlns="http://schemas.microsoft.com/office/infopath/2007/PartnerControls"/>
    </lcf76f155ced4ddcb4097134ff3c332f>
    <TaxCatchAll xmlns="bac4e3eb-747f-43bc-bf10-c1bbb893ecac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7F69C899AD4944D936AED36AE09C378" ma:contentTypeVersion="14" ma:contentTypeDescription="Create a new document." ma:contentTypeScope="" ma:versionID="ccf57b9df8964c5e9fb2c914ca35e3e3">
  <xsd:schema xmlns:xsd="http://www.w3.org/2001/XMLSchema" xmlns:xs="http://www.w3.org/2001/XMLSchema" xmlns:p="http://schemas.microsoft.com/office/2006/metadata/properties" xmlns:ns2="3da0b0aa-763e-4ae3-8235-222a586ef9fb" xmlns:ns3="bac4e3eb-747f-43bc-bf10-c1bbb893ecac" targetNamespace="http://schemas.microsoft.com/office/2006/metadata/properties" ma:root="true" ma:fieldsID="66e0c58ee0117062ab77bf336eb95d3b" ns2:_="" ns3:_="">
    <xsd:import namespace="3da0b0aa-763e-4ae3-8235-222a586ef9fb"/>
    <xsd:import namespace="bac4e3eb-747f-43bc-bf10-c1bbb893ecac"/>
    <xsd:element name="properties">
      <xsd:complexType>
        <xsd:sequence>
          <xsd:element name="documentManagement">
            <xsd:complexType>
              <xsd:all>
                <xsd:element ref="ns2:Notes" minOccurs="0"/>
                <xsd:element ref="ns2:MediaServiceMetadata" minOccurs="0"/>
                <xsd:element ref="ns2:MediaServiceFastMetadata" minOccurs="0"/>
                <xsd:element ref="ns2:NotesDescription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0b0aa-763e-4ae3-8235-222a586ef9fb" elementFormDefault="qualified">
    <xsd:import namespace="http://schemas.microsoft.com/office/2006/documentManagement/types"/>
    <xsd:import namespace="http://schemas.microsoft.com/office/infopath/2007/PartnerControls"/>
    <xsd:element name="Notes" ma:index="8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NotesDescription" ma:index="11" nillable="true" ma:displayName="Notes &amp; Description" ma:format="Dropdown" ma:internalName="NotesDescription">
      <xsd:simpleType>
        <xsd:restriction base="dms:Note">
          <xsd:maxLength value="255"/>
        </xsd:restriction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95476efd-2625-4ffb-b020-68dbe4abf38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c4e3eb-747f-43bc-bf10-c1bbb893ecac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4a967e2d-0d65-4f62-b63c-4cf3b95695be}" ma:internalName="TaxCatchAll" ma:showField="CatchAllData" ma:web="e3c497d2-0264-4120-9c7b-61a702ba9b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21EC71F-2AF3-4AF5-8563-5675B7CC4B61}">
  <ds:schemaRefs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fd189cbc-f38f-4133-9e5c-4c40260bfd61"/>
    <ds:schemaRef ds:uri="http://www.w3.org/XML/1998/namespace"/>
    <ds:schemaRef ds:uri="http://purl.org/dc/dcmitype/"/>
    <ds:schemaRef ds:uri="3da0b0aa-763e-4ae3-8235-222a586ef9fb"/>
  </ds:schemaRefs>
</ds:datastoreItem>
</file>

<file path=customXml/itemProps2.xml><?xml version="1.0" encoding="utf-8"?>
<ds:datastoreItem xmlns:ds="http://schemas.openxmlformats.org/officeDocument/2006/customXml" ds:itemID="{D2C72C99-8849-4E30-A72D-421F9F952E1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4E0CA4D-A7B0-44DE-A36C-2700EAB33D7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2EC6684-A930-4F16-8674-1554DFCC92B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Calculator</vt:lpstr>
      <vt:lpstr>Factors</vt:lpstr>
      <vt:lpstr>Escalation Tables</vt:lpstr>
      <vt:lpstr>Inflation Tables</vt:lpstr>
      <vt:lpstr>Notes</vt:lpstr>
      <vt:lpstr>Rental Car OCONUS</vt:lpstr>
    </vt:vector>
  </TitlesOfParts>
  <Company>U.S. Air Force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ANDERS, BRANDON D NH-02 USAF AFMC AFSC/FZC</dc:creator>
  <cp:lastModifiedBy>MINCEY, BRANDON C GS-11 USAF AFMC AFSC/FZC</cp:lastModifiedBy>
  <dcterms:created xsi:type="dcterms:W3CDTF">2020-01-03T14:38:12Z</dcterms:created>
  <dcterms:modified xsi:type="dcterms:W3CDTF">2023-09-12T15:06:43Z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0x01010097F69C899AD4944D936AED36AE09C378</vt:lpwstr>
  </property>
</Properties>
</file>